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hayneDelaForce\Desktop\Quantum Readiness Index\"/>
    </mc:Choice>
  </mc:AlternateContent>
  <xr:revisionPtr revIDLastSave="0" documentId="13_ncr:1_{BBD460A7-359D-47EA-88C3-171B5D872274}" xr6:coauthVersionLast="47" xr6:coauthVersionMax="47" xr10:uidLastSave="{00000000-0000-0000-0000-000000000000}"/>
  <bookViews>
    <workbookView xWindow="-110" yWindow="-110" windowWidth="19420" windowHeight="11500" activeTab="2" xr2:uid="{7FF5A54F-58FB-4E4D-8E0C-774001331C68}"/>
  </bookViews>
  <sheets>
    <sheet name="User Guide" sheetId="4" r:id="rId1"/>
    <sheet name="Executive Summary" sheetId="3" r:id="rId2"/>
    <sheet name="Quantum Readiness Index" sheetId="1" r:id="rId3"/>
    <sheet name="Calculator" sheetId="5" r:id="rId4"/>
    <sheet name="Lists" sheetId="2" state="hidden" r:id="rId5"/>
  </sheets>
  <definedNames>
    <definedName name="Understanding_opportunities" localSheetId="4">Lists!$C$6:$C$10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 i="5" l="1"/>
  <c r="K15" i="5"/>
  <c r="E20" i="5"/>
  <c r="E18" i="5"/>
  <c r="E11" i="5"/>
  <c r="H7" i="1"/>
  <c r="H8" i="1"/>
  <c r="H9" i="1"/>
  <c r="H10" i="1"/>
  <c r="H11" i="1"/>
  <c r="C39" i="3" s="1"/>
  <c r="H12" i="1"/>
  <c r="H13" i="1"/>
  <c r="H14" i="1"/>
  <c r="H15" i="1"/>
  <c r="H16" i="1"/>
  <c r="C33" i="3" s="1"/>
  <c r="H17" i="1"/>
  <c r="C34" i="3" s="1"/>
  <c r="H18" i="1"/>
  <c r="H19" i="1"/>
  <c r="H20" i="1"/>
  <c r="H21" i="1"/>
  <c r="H22" i="1"/>
  <c r="C35" i="3" s="1"/>
  <c r="H23" i="1"/>
  <c r="H24" i="1"/>
  <c r="H25" i="1"/>
  <c r="H26" i="1"/>
  <c r="H27" i="1"/>
  <c r="H28" i="1"/>
  <c r="H29" i="1"/>
  <c r="C40" i="3" s="1"/>
  <c r="H30" i="1"/>
  <c r="H31" i="1"/>
  <c r="H32" i="1"/>
  <c r="H33" i="1"/>
  <c r="H34" i="1"/>
  <c r="H35" i="1"/>
  <c r="H36" i="1"/>
  <c r="H37" i="1"/>
  <c r="H38" i="1"/>
  <c r="H39" i="1"/>
  <c r="H40" i="1"/>
  <c r="H41" i="1"/>
  <c r="H42" i="1"/>
  <c r="H43" i="1"/>
  <c r="H44" i="1"/>
  <c r="H45" i="1"/>
  <c r="C41" i="3" s="1"/>
  <c r="H46" i="1"/>
  <c r="H47" i="1"/>
  <c r="H48" i="1"/>
  <c r="H49" i="1"/>
  <c r="H50" i="1"/>
  <c r="C36" i="3" s="1"/>
  <c r="H6" i="1"/>
  <c r="C38" i="3" s="1"/>
  <c r="EE5" i="2"/>
  <c r="EB5" i="2"/>
  <c r="DY5" i="2"/>
  <c r="DV5" i="2"/>
  <c r="DS5" i="2"/>
  <c r="DP5" i="2"/>
  <c r="DM5" i="2"/>
  <c r="DJ5" i="2"/>
  <c r="DG5" i="2"/>
  <c r="DD5" i="2"/>
  <c r="DA5" i="2"/>
  <c r="CX5" i="2"/>
  <c r="CU5" i="2"/>
  <c r="CR5" i="2"/>
  <c r="CO5" i="2"/>
  <c r="CL5" i="2"/>
  <c r="CI5" i="2"/>
  <c r="CF5" i="2"/>
  <c r="CC5" i="2"/>
  <c r="BZ5" i="2"/>
  <c r="BW5" i="2"/>
  <c r="BT5" i="2"/>
  <c r="BQ5" i="2"/>
  <c r="BN5" i="2"/>
  <c r="BK5" i="2"/>
  <c r="BH5" i="2"/>
  <c r="BE5" i="2"/>
  <c r="BB5" i="2"/>
  <c r="AY5" i="2"/>
  <c r="AV5" i="2"/>
  <c r="AS5" i="2"/>
  <c r="AP5" i="2"/>
  <c r="AM5" i="2"/>
  <c r="AJ5" i="2"/>
  <c r="AG5" i="2"/>
  <c r="AD5" i="2"/>
  <c r="AA5" i="2"/>
  <c r="X5" i="2"/>
  <c r="U5" i="2"/>
  <c r="R5" i="2"/>
  <c r="O5" i="2"/>
  <c r="L5" i="2"/>
  <c r="I5" i="2"/>
  <c r="F5" i="2"/>
  <c r="C5" i="2"/>
  <c r="C28" i="3" l="1"/>
  <c r="C27" i="3"/>
  <c r="C26" i="3"/>
  <c r="C25" i="3"/>
  <c r="C23" i="3"/>
  <c r="C22" i="3"/>
  <c r="C21" i="3"/>
  <c r="C19" i="3"/>
  <c r="C18" i="3"/>
  <c r="C17" i="3"/>
  <c r="C16" i="3"/>
  <c r="C7" i="3"/>
  <c r="C6" i="3"/>
  <c r="C5" i="3"/>
  <c r="C8" i="3" l="1"/>
  <c r="C10" i="3" s="1"/>
</calcChain>
</file>

<file path=xl/sharedStrings.xml><?xml version="1.0" encoding="utf-8"?>
<sst xmlns="http://schemas.openxmlformats.org/spreadsheetml/2006/main" count="524" uniqueCount="522">
  <si>
    <t>A. Actionable Quantum Intelligence</t>
  </si>
  <si>
    <t>B. Capturing Quantum Business Value</t>
  </si>
  <si>
    <t>C. Securing Quantum IP</t>
  </si>
  <si>
    <t>D. Regulations and Standards</t>
  </si>
  <si>
    <t>E. Quantum-Classical Orchestration</t>
  </si>
  <si>
    <t>F. AI/ML Computational Models</t>
  </si>
  <si>
    <t>G. DevSecOps for Quantum Applications</t>
  </si>
  <si>
    <t>H. Governance of Quantum Roadmap</t>
  </si>
  <si>
    <t>I. Quantum Talent Strategy</t>
  </si>
  <si>
    <t>J. Quantum Innovation Process</t>
  </si>
  <si>
    <t>K. High Velocity Research and Development</t>
  </si>
  <si>
    <t>We systematically map high-value organizational pain points to specific quantum capabilities to determine where the technology applies.</t>
  </si>
  <si>
    <t>We maintain dynamic predictive models to estimate exactly when quantum advantage will disrupt our specific industry sector.</t>
  </si>
  <si>
    <t>We operate a "listening post" to track competitor activity, hardware breakthroughs, and investment signals in real-time.</t>
  </si>
  <si>
    <t>We rigorously vet the vendor landscape to distinguish viable technology partners from "PowerPoint" startups.</t>
  </si>
  <si>
    <t>We identify specific targets for M&amp;A or strategic partnerships to rapidly secure necessary talent and intellectual property.</t>
  </si>
  <si>
    <t>We articulate exactly why a quantum approach offers a superior mathematical advantage over classical solvers for specific problems.</t>
  </si>
  <si>
    <t>We maintain a financial roadmap that predicts the "break-even" date for quantum investments based on technical milestones.</t>
  </si>
  <si>
    <t>We enforce strict decision gates to fund, continue, or kill quantum projects based on predefined performance KPIs.</t>
  </si>
  <si>
    <t>We invest in foundational assets, such as improved data structures, that yield ROI even if quantum hardware is delayed.</t>
  </si>
  <si>
    <t>We run experimental proofs-of-concept across diverse domains (optimization, simulation, AI) to validate feasibility before scaling.</t>
  </si>
  <si>
    <t>We implement legal frameworks ensuring that "Foreground IP" created during vendor engagements is retained by the organization.</t>
  </si>
  <si>
    <t>We utilize a logic tree to determine whether new inventions should be patented, open-sourced, or protected as trade secrets.</t>
  </si>
  <si>
    <t>We convene a technical review board to evaluate the novelty and patentability of algorithms developed by our internal teams.</t>
  </si>
  <si>
    <t>We actively file patents to build a defensive "IP moat" around our specific quantum applications and workflows.</t>
  </si>
  <si>
    <t>We develop mechanisms to monetize our proprietary quantum solutions by licensing them to suppliers or partners.</t>
  </si>
  <si>
    <t>We proactively dialogue with government bodies (e.g., FDA, FAA) to define certification paths for quantum-derived results.</t>
  </si>
  <si>
    <t>We align our protocols with emerging industry standards (e.g., IEEE, NIST) to ensure interoperability and compliance.</t>
  </si>
  <si>
    <t>We participate in industry consortiums to shape the regulatory landscape rather than passively reacting to it.</t>
  </si>
  <si>
    <t>We isolate quantum code into portable containers to ensure consistent deployment across diverse hardware backends.</t>
  </si>
  <si>
    <t>We automate the workflow to seamlessly hand off tasks between classical processors and quantum units without manual intervention.</t>
  </si>
  <si>
    <t>We engineer workflows to minimize latency and queue times when accessing cloud-based quantum processors.</t>
  </si>
  <si>
    <t>We ensure quantum outputs can be directly ingested by downstream enterprise applications like ERP or logistics software.</t>
  </si>
  <si>
    <t>We leverage quantum simulation to generate synthetic training data that enhances the accuracy of your classical AI models.</t>
  </si>
  <si>
    <t>We deploy hybrid solvers, such as Variational Quantum Algorithms, that combine quantum sampling with classical optimization.</t>
  </si>
  <si>
    <t>We audit and structure our classical data to ensure it is sufficiently clean and formatted for quantum processing.</t>
  </si>
  <si>
    <t>We establish automated pipelines for testing, verifying, and deploying updates to quantum circuits.</t>
  </si>
  <si>
    <t>We secure managed access to quantum backends via aggregated platforms rather than purchasing dedicated hardware.</t>
  </si>
  <si>
    <t>We utilize dashboards to monitor compute usage, manage costs, and control user access to quantum resources.</t>
  </si>
  <si>
    <t>We synchronize quantum development milestones with the broader corporate product release cycles.</t>
  </si>
  <si>
    <t>We embed quantum experts directly into core R&amp;D product teams rather than isolating them in a separate lab.</t>
  </si>
  <si>
    <t>We ensure both technical leaders (CIO) and business unit leaders hold shared accountability for quantum KPIs.</t>
  </si>
  <si>
    <t>We formalize a central unit to consolidate best practices, standardize tools, and disseminate knowledge across the firm.</t>
  </si>
  <si>
    <t>We allocate a specific, ring-fenced budget for quantum initiatives that accounts for the high failure rate of R&amp;D experiments.</t>
  </si>
  <si>
    <t>We build a balanced team of quantum physicists, software engineers, and "translators" who bridge the domain gap.</t>
  </si>
  <si>
    <t>We encourage our technical staff to contribute to open-source libraries and publish research to attract top talent.</t>
  </si>
  <si>
    <t>We foster an environment that rewards experimental learning and does not penalize "scientific failure".</t>
  </si>
  <si>
    <t>We explicitly define and accept the long-term, high-risk nature of quantum investments at the board level.</t>
  </si>
  <si>
    <t>We utilize a standardized funnel process to move concepts efficiently from whiteboard theory to production reality.</t>
  </si>
  <si>
    <t>We integrate quantum computing projections into our long-term (5-10 year) corporate strategy documents.</t>
  </si>
  <si>
    <t>We require every project to start with a defined "Value Hypothesis" quantifying the potential operational impact.</t>
  </si>
  <si>
    <t>We establish internal standards to certify that a quantum solution is robust enough for production deployment.</t>
  </si>
  <si>
    <t>We operate using iterative sprints to rapidly test and refine quantum circuits based on feedback.</t>
  </si>
  <si>
    <t>We release value in staged phases, starting with hybrid heuristics, rather than waiting for perfect fault tolerance.</t>
  </si>
  <si>
    <t>We constantly update our algorithms to leverage the latest improvements in hardware fidelity and qubit counts.</t>
  </si>
  <si>
    <t>We embed security protocols, including post-quantum cryptography, directly into the development lifecycle from day one.</t>
  </si>
  <si>
    <t>We provide commercial reality checks. We tell you when the technology will impact your P&amp;L, not when a paper is published.</t>
  </si>
  <si>
    <t>We ensure every dollar spent improves your classical stack (e.g., data hygiene) even if the quantum era is delayed.</t>
  </si>
  <si>
    <t>We negotiate "Foreground IP" rights. We ensure you own the algorithm the vendor builds for you.</t>
  </si>
  <si>
    <t>We provide the "Trade Secret vs. Patent" framework to protect you from the "Harvest Now, Decrypt Later" threat.</t>
  </si>
  <si>
    <t>We audit your R&amp;D labs to capture and catalogue "accidental" innovations.</t>
  </si>
  <si>
    <t>We drive a defensive patent strategy to block competitors from operating in your specific vertical.</t>
  </si>
  <si>
    <t>We turn your quantum cost center into a profit center by structuring licensing deals for your supply chain.</t>
  </si>
  <si>
    <t>We speak "Federal." We handle the certification conversations with bodies like the FAA or FDA.</t>
  </si>
  <si>
    <t>We represent your interests in consortiums (e.g., QED-C), saving your executives time.</t>
  </si>
  <si>
    <t>We deploy the "Hybrid" layer. We automate the handoff so your Classical CPU and Quantum QPU work as one unit.</t>
  </si>
  <si>
    <t>We reduce "Time-to-Solution." We optimize circuit depth to lower your cloud compute bills.</t>
  </si>
  <si>
    <t>We bridge the "Valley of Death." We hook the quantum solver directly into your existing SAP/ERP systems.</t>
  </si>
  <si>
    <t>We execute the "AQ Convergence." We use quantum simulation to generate synthetic data to train your AI models.</t>
  </si>
  <si>
    <t>We bring the library of "Heuristics." We deploy pre-built solvers for logistics and chemistry so you don't start from scratch.</t>
  </si>
  <si>
    <t>We perform the "Garbage In" audit. We clean your classical data structures so they are actually ingestible by a QPU.</t>
  </si>
  <si>
    <t>We manage the "App Store." We provide aggregated access to multiple backends (Pasqal, QuEra, IBM) via one contract.</t>
  </si>
  <si>
    <t>We professionalize the code. We move your team from "Jupyter Notebooks" to enterprise-grade software engineering.</t>
  </si>
  <si>
    <t>We enforce "Cost Governance." We track every second of QPU usage to prevent budget overruns.</t>
  </si>
  <si>
    <t>We force the conversation. We ensure the quantum roadmap actually supports the product launch roadmap.</t>
  </si>
  <si>
    <t>We break the silos. We embed quantum physicists into your manufacturing teams to solve real problems.</t>
  </si>
  <si>
    <t>We are the "Board Advisor." We translate technical risk into business language for the C-Suite.</t>
  </si>
  <si>
    <t>We act as the "Fiduciary." We structure the budget to account for high failure rates in early experiments.</t>
  </si>
  <si>
    <t>We are the "Fractional Solution." You partner with our expertise for a fraction of the cost of hiring a full-time lead.</t>
  </si>
  <si>
    <t>We enhance your "Employer Brand." We help you publish non-sensitive work to attract top-tier talent.</t>
  </si>
  <si>
    <t>We provide "Psychological Safety." We frame negative results as "learning data," not failure.</t>
  </si>
  <si>
    <t>We define the "Stop Loss." We set clear boundaries on how much risk the organization accepts</t>
  </si>
  <si>
    <t>We install the "Funnel." A rigorous process to move ideas from whiteboard to production.</t>
  </si>
  <si>
    <t>We future-proof the strategy. We integrate quantum horizons into your 5-year corporate plan.</t>
  </si>
  <si>
    <t>We demand the "Value Hypothesis." We don't start a project unless the projected ROI is clear.</t>
  </si>
  <si>
    <t>We validate the output. We certify that the solution is robust enough for critical manufacturing lines.</t>
  </si>
  <si>
    <t>We drive speed. We run weekly sprints to iterate on circuit designs faster than your competition.</t>
  </si>
  <si>
    <t>We deliver "Efficiency Now." We focus on near-term heuristic advantages while waiting for fault tolerance.</t>
  </si>
  <si>
    <t>We keep you current. We update your algorithms to match the latest hardware specs (e.g., 100+ qubits).</t>
  </si>
  <si>
    <t>We mitigate the "HNDL" threat. We embed Post-Quantum Cryptography into your ops layer from Day 1.</t>
  </si>
  <si>
    <t>LFI Process Description</t>
  </si>
  <si>
    <t>A.1: Understanding opportunities</t>
  </si>
  <si>
    <t>A.2: Forecasting market scenarios</t>
  </si>
  <si>
    <t>A.3: Monitoring market data</t>
  </si>
  <si>
    <t>A.4: Business value of startups</t>
  </si>
  <si>
    <t>A.5: Acquisition pipeline</t>
  </si>
  <si>
    <t>B.6: Use case differentiation</t>
  </si>
  <si>
    <t>B.7: Timing of value realization</t>
  </si>
  <si>
    <t>B.8: Processes and governance</t>
  </si>
  <si>
    <t>B.9: No-regret capabilities</t>
  </si>
  <si>
    <t>B.10: Use case exploration</t>
  </si>
  <si>
    <t>C.11: Protection of IP</t>
  </si>
  <si>
    <t>C.12: Decision models</t>
  </si>
  <si>
    <t>C.13: Invention assessments</t>
  </si>
  <si>
    <t>C.14: New filings</t>
  </si>
  <si>
    <t>C.15: Licensing strategy</t>
  </si>
  <si>
    <t>D.16: Engaging regulatory agencies</t>
  </si>
  <si>
    <t>D.17: Understanding standards</t>
  </si>
  <si>
    <t>D.18: Stakeholder collaboration</t>
  </si>
  <si>
    <t>E.19: Containerized workloads</t>
  </si>
  <si>
    <t>E.20: Quantum-classical orchestration</t>
  </si>
  <si>
    <t>E.21: Optimized application times</t>
  </si>
  <si>
    <t>E.22: Interoperating workloads</t>
  </si>
  <si>
    <t>F.23: AI/ML models</t>
  </si>
  <si>
    <t>F.24: Advanced computational models</t>
  </si>
  <si>
    <t>F.25: Data maturity</t>
  </si>
  <si>
    <t>G.26: Cloud-based tools</t>
  </si>
  <si>
    <t>G.27: Continuous integration and delivery (CI/CD)</t>
  </si>
  <si>
    <t>G.28: Administration tools</t>
  </si>
  <si>
    <t>H.29: Alignment of innovation roadmaps</t>
  </si>
  <si>
    <t>H.30: Integration with R&amp;D</t>
  </si>
  <si>
    <t>H.31: Shared business-tech exec responsibility</t>
  </si>
  <si>
    <t>H.32: Centers of Excellence</t>
  </si>
  <si>
    <t>I.33: Budgeting</t>
  </si>
  <si>
    <t>I.34: Staffing</t>
  </si>
  <si>
    <t>I.35: Community participation</t>
  </si>
  <si>
    <t>I.36: Innovation culture</t>
  </si>
  <si>
    <t>I.37: Risk tolerance</t>
  </si>
  <si>
    <t>J.38: Ideation to integration</t>
  </si>
  <si>
    <t>J.39: Strategic planning models</t>
  </si>
  <si>
    <t>J.40: Expected business value</t>
  </si>
  <si>
    <t>J.41: Solution certificates</t>
  </si>
  <si>
    <t>K.42: Agile methodology</t>
  </si>
  <si>
    <t>3. Experimenting / In Progress - We try to run 2-week sprints, but we constantly miss our goals because Physics is unpredictable. The team is frustrated by the mismatch between rigid Scrum and messy science.</t>
  </si>
  <si>
    <t>K.43: Incremental deployment</t>
  </si>
  <si>
    <t>K.44: Continuous workflow enhancements</t>
  </si>
  <si>
    <t>5. Fully Complete - We use Adaptive Compilation. Our software stack automatically profiles the specific quantum processor at runtime. If the chip has a new connectivity map or lower error rate on Qubit 4, the compiler rewrites the circuit on the fly to exploit it.</t>
  </si>
  <si>
    <t>K.45: DevSecOps (Operational)</t>
  </si>
  <si>
    <t>We perform Vendor Due Diligence. We know which startups are vaporware and which have real hardware access.</t>
  </si>
  <si>
    <t>We leverage The LFI Syndicate. If you need to acquire a team to catch up, we identify the targets before they hit the open market.</t>
  </si>
  <si>
    <t>We build the ROI Roadmap. We align quantum milestones to your fiscal quarters to justify the OPEX.</t>
  </si>
  <si>
    <t>We hold the Kill Switch. We establish the metrics to shut down underperforming projects instantly.</t>
  </si>
  <si>
    <t>We manage a Diversified Portfolio (Optimization + Simulation) to hedge your bets against uncertainty.</t>
  </si>
  <si>
    <t>3. Experimenting / In Progress - We have containerized specific pilots. We are testing if we can package a quantum circuit and its classical pre-processing into a single deployable unit.</t>
  </si>
  <si>
    <t>3. Experimenting / In Progress - We have scripted a basic loop. A Python script sends a job to the cloud QPU, waits for the result, and processes it. Latency is high due to queue times and network lag.</t>
  </si>
  <si>
    <t>1. Not Considering / Not Started - Our quantum workloads are isolated "science experiments." The data stays within the quantum team. We have no connection to enterprise IT systems.</t>
  </si>
  <si>
    <t>4. Mostly Complete - We have enterprise-grade access. We utilize "Reserved Instances" or dedicated access to ensure our jobs run without waiting in public queues. We have central billing and security controls.</t>
  </si>
  <si>
    <t>3. Experimenting / In Progress - We have Project-Based funding. We got $500k for this specific pilot. If it fails, the money stops. We are terrified of taking risks because we need a win to survive.</t>
  </si>
  <si>
    <t>3. Experimenting / In Progress - We allow Passive participation. Staff can attend conferences and fix minor bugs in public libraries, but they cannot release significant code or act as maintainers.</t>
  </si>
  <si>
    <t>3. Experimenting / In Progress - We allow failure in The Lab. The R&amp;D team has a safe space to fail, but they must sanitize their reports before presenting to the Board to look successful.</t>
  </si>
  <si>
    <t>4. Mostly Complete - We have a Strategic Risk Framework. The Board has signed off on a 3-year Zero Revenue period for Quantum. We view the risk as "Asymmetric", the cost of doing nothing is higher than the cost of failing.</t>
  </si>
  <si>
    <t>1. Not Considering / Not Started - We manage quantum projects ad-hoc. There are no formal processes or specific governance structures for quantum initiatives.</t>
  </si>
  <si>
    <t>1. Not Considering / Not Started - We are only investing in quantum-specific hardware or pilots. We have not identified capabilities that serve both classical and quantum needs.</t>
  </si>
  <si>
    <t>1. Not Considering / Not Started - We run circuits "as is" without optimization. We accept high wait times and long execution durations as the cost of doing business.</t>
  </si>
  <si>
    <t>1. Not Considering / Not Started - We manage AI and Quantum as completely separate silos. Our data science team has no interaction with the quantum research team.</t>
  </si>
  <si>
    <t>1. Not Considering / Not Started - We develop our quantum strategy independently of vendor roadmaps. We assume "the hardware will be there" when we are ready.</t>
  </si>
  <si>
    <t>1. Not Considering / Not Started - Our quantum team operates as a completely separate unit (e.g., "Special Projects"). There is no formal interaction or shared roadmap with the main R&amp;D division.</t>
  </si>
  <si>
    <t>TOTAL QRI SCORE*</t>
  </si>
  <si>
    <t>STRATEGY</t>
  </si>
  <si>
    <t>A. Actionable Intelligence</t>
  </si>
  <si>
    <t>B. Capturing Business Value</t>
  </si>
  <si>
    <t>C. Securing IP</t>
  </si>
  <si>
    <t>D. Regulations &amp; Standards</t>
  </si>
  <si>
    <t>TECHNOLOGY</t>
  </si>
  <si>
    <t>E. Orchestration</t>
  </si>
  <si>
    <t>F. AI/ML Models</t>
  </si>
  <si>
    <t>G. DevSecOps (App)</t>
  </si>
  <si>
    <t>OPERATIONS</t>
  </si>
  <si>
    <t>H. Governance</t>
  </si>
  <si>
    <t>I. Talent Strategy</t>
  </si>
  <si>
    <t>J. Innovation Process</t>
  </si>
  <si>
    <t>K. High Velocity R&amp;D</t>
  </si>
  <si>
    <t>3. Experimenting / In Progress - We have filed 1-2 provisional patents based on initial pilots. Filings are sporadic and driven by individual researcher initiative rather than corporate strategy.</t>
  </si>
  <si>
    <t>3. Experimenting / In Progress - We are running "Toy Models." We have replaced a small section of a classical simulation with a quantum circuit. It is currently slower and less accurate, but it proves the connection works.</t>
  </si>
  <si>
    <t>4. Mostly Complete - Our data is API-accessible and "Schema-Strict." We have automated pipelines that clean and normalize data specifically for high-performance computing ingestion.</t>
  </si>
  <si>
    <t>4. Mostly Complete - We have a robust pipeline. We run regression tests against simulators and small-scale quantum hardware. We catch breaking changes in vendor SDKs automatically.</t>
  </si>
  <si>
    <t>3. Experimenting / In Progress - We have a single administrator who manually manages access keys and tracks usage via spreadsheets. Reporting is retroactive (at the end of the month).</t>
  </si>
  <si>
    <t>3. Experimenting / In Progress - We have a "Business Sponsor" for our pilots. They lend their name to the project to help secure funding, but they do not have specific deliverables.</t>
  </si>
  <si>
    <t>2. Evaluating / Planning - We are writing job descriptions. We are debating whether to hire a senior physicist or a fresh PhD. We have not made an offer yet.</t>
  </si>
  <si>
    <t>4. Mostly Complete - We have a Stage-Gate Process. We have formal review gates (Idea -&gt; Feasibility -&gt; Pilot -&gt; Production). We kill bad ideas early and resource good ideas for integration.</t>
  </si>
  <si>
    <t>4. Mostly Complete - We use Scenario Planning. Our corporate strategy includes Quantum Accelerate and Quantum Stagnate scenarios. We have modeled how a breakthrough in 2027 would alter our supply chain and competitive positioning.</t>
  </si>
  <si>
    <t>3. Experimenting / In Progress - We calculate value after the fact. We finish a pilot and then try to back-calculate what it might be worth if scaled. We are rationalizing the spend rather than justifying the investment.</t>
  </si>
  <si>
    <t>4. Mostly Complete - We have a "Robustness Standard." To be certified for production, a solution must pass a "Noise Resilience Test." It must prove it can maintain accuracy even when error rates spike by 10%.</t>
  </si>
  <si>
    <t>4. Mostly Complete - We use "Dual-Track Agile." The Software Engineering team runs standard 2-week sprints. The Physics team runs longer, variable "Research Cycles." They sync up every month to integrate.</t>
  </si>
  <si>
    <t>4. Mostly Complete - We utilize "Heuristic Advantages." We deploy solutions that use quantum (or quantum-inspired) solvers to break out of local minima, even if the final optimization is classical. We capture small wins (1-2% efficiency gains).</t>
  </si>
  <si>
    <t>4. Mostly Complete - We have Scheduled Optimization Cycles. Our CI/CD pipeline includes a Re-Transpilation step. We verify that our circuits are using the latest native gate sets (e.g., Dynamic Circuits) supported by the backend.</t>
  </si>
  <si>
    <t>4. Mostly Complete - We have "Obfuscated Execution." We use circuit knitting or data masking techniques to ensure that the quantum cloud provider never sees the full problem. We treat the quantum backend as an "Untrusted Environment."</t>
  </si>
  <si>
    <r>
      <t>*The LFI Standard QRI Weighting:</t>
    </r>
    <r>
      <rPr>
        <sz val="12"/>
        <color theme="4"/>
        <rFont val="Aptos Narrow"/>
        <family val="2"/>
        <scheme val="minor"/>
      </rPr>
      <t xml:space="preserve"> The Total QRI Score is not a simple average. It uses a weighted formula to reflect that Organizational Readiness is the primary driver of success, not just hardware access.</t>
    </r>
  </si>
  <si>
    <r>
      <t>1. Operations (57% Weight):</t>
    </r>
    <r>
      <rPr>
        <sz val="12"/>
        <color theme="4"/>
        <rFont val="Aptos Narrow"/>
        <family val="2"/>
        <scheme val="minor"/>
      </rPr>
      <t xml:space="preserve"> </t>
    </r>
    <r>
      <rPr>
        <i/>
        <sz val="12"/>
        <color theme="4"/>
        <rFont val="Aptos Narrow"/>
        <family val="2"/>
        <scheme val="minor"/>
      </rPr>
      <t>The Execution Engine.</t>
    </r>
    <r>
      <rPr>
        <sz val="12"/>
        <color theme="4"/>
        <rFont val="Aptos Narrow"/>
        <family val="2"/>
        <scheme val="minor"/>
      </rPr>
      <t xml:space="preserve"> This is the heaviest component because superior technology fails without the workforce, governance, and workflows to integrate it.</t>
    </r>
  </si>
  <si>
    <r>
      <t>2. Technology (29% Weight):</t>
    </r>
    <r>
      <rPr>
        <sz val="12"/>
        <color theme="4"/>
        <rFont val="Aptos Narrow"/>
        <family val="2"/>
        <scheme val="minor"/>
      </rPr>
      <t xml:space="preserve"> </t>
    </r>
    <r>
      <rPr>
        <i/>
        <sz val="12"/>
        <color theme="4"/>
        <rFont val="Aptos Narrow"/>
        <family val="2"/>
        <scheme val="minor"/>
      </rPr>
      <t>The Technical Foundation.</t>
    </r>
    <r>
      <rPr>
        <sz val="12"/>
        <color theme="4"/>
        <rFont val="Aptos Narrow"/>
        <family val="2"/>
        <scheme val="minor"/>
      </rPr>
      <t xml:space="preserve"> Measures the maturity of your stack, including security (DevSecOps) and hybrid orchestration capabilities.</t>
    </r>
  </si>
  <si>
    <r>
      <t>3. Strategy (14% Weight):</t>
    </r>
    <r>
      <rPr>
        <sz val="12"/>
        <color theme="4"/>
        <rFont val="Aptos Narrow"/>
        <family val="2"/>
        <scheme val="minor"/>
      </rPr>
      <t xml:space="preserve"> </t>
    </r>
    <r>
      <rPr>
        <i/>
        <sz val="12"/>
        <color theme="4"/>
        <rFont val="Aptos Narrow"/>
        <family val="2"/>
        <scheme val="minor"/>
      </rPr>
      <t>The Vision.</t>
    </r>
    <r>
      <rPr>
        <sz val="12"/>
        <color theme="4"/>
        <rFont val="Aptos Narrow"/>
        <family val="2"/>
        <scheme val="minor"/>
      </rPr>
      <t xml:space="preserve"> While critical for direction, a strategy document alone does not constitute readiness. It is the easiest pillar to complete, hence the lowest weight.</t>
    </r>
  </si>
  <si>
    <t>NOTES:</t>
  </si>
  <si>
    <t>Company Name:</t>
  </si>
  <si>
    <t xml:space="preserve">Date: </t>
  </si>
  <si>
    <t>LFI Quantum Readiness &amp; Risk Radar™</t>
  </si>
  <si>
    <t>We deploy the Use Case Heatmap. We audit your operational data to find the actual NP-Hard bottlenecks (e.g., job shop scheduling) ripe for quantum acceleration.</t>
  </si>
  <si>
    <t>We perform the Competitor Impact Analysis. A market-first analysis of how your competitors are deploying deep tech, arming you with the 'case for action'.</t>
  </si>
  <si>
    <t>We conduct the PQC Readiness &amp; Crypto-Inventory. We audit your data infrastructure to identify Crypto-Agile Gaps and build your migration roadmap.</t>
  </si>
  <si>
    <t>We quantify the Commercial Opportunity. We separate true quantum advantage from 'hype' by proving which problems hit the Complexity Wall.</t>
  </si>
  <si>
    <t>THREAT RADAR</t>
  </si>
  <si>
    <t>IP Defense (C.11)</t>
  </si>
  <si>
    <t>Trade Secret Strategy (C.12)</t>
  </si>
  <si>
    <t>PQC Compliance (D.17)</t>
  </si>
  <si>
    <t>Crypto-Agility (K.45)</t>
  </si>
  <si>
    <t>OPPORTUNITY RADAR</t>
  </si>
  <si>
    <t>NP-Hard Heatmap (A.1)</t>
  </si>
  <si>
    <t>Commercial Value (B.6)</t>
  </si>
  <si>
    <t>Heuristic Solvers (F.24)</t>
  </si>
  <si>
    <t>ROI Hypothesis (J.40)</t>
  </si>
  <si>
    <r>
      <rPr>
        <b/>
        <sz val="12"/>
        <color theme="4"/>
        <rFont val="Aptos Narrow"/>
        <family val="2"/>
        <scheme val="minor"/>
      </rPr>
      <t>Methodology</t>
    </r>
    <r>
      <rPr>
        <sz val="12"/>
        <color theme="4"/>
        <rFont val="Aptos Narrow"/>
        <family val="2"/>
        <scheme val="minor"/>
      </rPr>
      <t>: This assessment utilizes the QRAMM Framework to audit data infrastructure, identify CVI (Cryptographically Relevant) gaps, and prioritize commercial use cases.</t>
    </r>
  </si>
  <si>
    <t>Strategy (The Why)</t>
  </si>
  <si>
    <t>Technology (The How)</t>
  </si>
  <si>
    <t>Operations (The Who)</t>
  </si>
  <si>
    <r>
      <rPr>
        <b/>
        <sz val="11"/>
        <color theme="4"/>
        <rFont val="Aptos Narrow"/>
        <family val="2"/>
        <scheme val="minor"/>
      </rPr>
      <t>1. Not Considering / Not Started</t>
    </r>
    <r>
      <rPr>
        <sz val="11"/>
        <color theme="4"/>
        <rFont val="Aptos Narrow"/>
        <family val="2"/>
        <scheme val="minor"/>
      </rPr>
      <t xml:space="preserve"> - We have not taken any action to identify or map potential business opportunities for quantum computing.</t>
    </r>
  </si>
  <si>
    <r>
      <rPr>
        <b/>
        <sz val="11"/>
        <color theme="4"/>
        <rFont val="Aptos Narrow"/>
        <family val="2"/>
        <scheme val="minor"/>
      </rPr>
      <t xml:space="preserve">1. Not Considering / Not Started </t>
    </r>
    <r>
      <rPr>
        <sz val="11"/>
        <color theme="4"/>
        <rFont val="Aptos Narrow"/>
        <family val="2"/>
        <scheme val="minor"/>
      </rPr>
      <t>- We do not track or forecast when quantum computing will impact our market. We react to news as it happens.</t>
    </r>
  </si>
  <si>
    <r>
      <rPr>
        <b/>
        <sz val="11"/>
        <color theme="4"/>
        <rFont val="Aptos Narrow"/>
        <family val="2"/>
        <scheme val="minor"/>
      </rPr>
      <t>1. Not Considering / Not Started</t>
    </r>
    <r>
      <rPr>
        <sz val="11"/>
        <color theme="4"/>
        <rFont val="Aptos Narrow"/>
        <family val="2"/>
        <scheme val="minor"/>
      </rPr>
      <t xml:space="preserve"> - We do not actively monitor the quantum market. We have no process for tracking external developments or competitor moves.</t>
    </r>
  </si>
  <si>
    <r>
      <rPr>
        <b/>
        <sz val="11"/>
        <color theme="4"/>
        <rFont val="Aptos Narrow"/>
        <family val="2"/>
        <scheme val="minor"/>
      </rPr>
      <t>1. Not Considering / Not Started</t>
    </r>
    <r>
      <rPr>
        <sz val="11"/>
        <color theme="4"/>
        <rFont val="Aptos Narrow"/>
        <family val="2"/>
        <scheme val="minor"/>
      </rPr>
      <t xml:space="preserve"> - We do not assess the quantum startup landscape. We generally wait for established tech giants (e.g., IBM, Google) to provide solutions.</t>
    </r>
  </si>
  <si>
    <r>
      <rPr>
        <b/>
        <sz val="11"/>
        <color theme="4"/>
        <rFont val="Aptos Narrow"/>
        <family val="2"/>
        <scheme val="minor"/>
      </rPr>
      <t>1. Not Considering / Not Started</t>
    </r>
    <r>
      <rPr>
        <sz val="11"/>
        <color theme="4"/>
        <rFont val="Aptos Narrow"/>
        <family val="2"/>
        <scheme val="minor"/>
      </rPr>
      <t xml:space="preserve"> - We do not view M&amp;A as a lever for quantum readiness. We assume we will build all capabilities internally or rent them as a service.</t>
    </r>
  </si>
  <si>
    <r>
      <rPr>
        <b/>
        <sz val="11"/>
        <color theme="4"/>
        <rFont val="Aptos Narrow"/>
        <family val="2"/>
        <scheme val="minor"/>
      </rPr>
      <t>1. Not Considering / Not Started</t>
    </r>
    <r>
      <rPr>
        <sz val="11"/>
        <color theme="4"/>
        <rFont val="Aptos Narrow"/>
        <family val="2"/>
        <scheme val="minor"/>
      </rPr>
      <t xml:space="preserve"> - We do not distinguish between classical and quantum use cases. We assume all our computational problems are best solved by classical HPC.</t>
    </r>
  </si>
  <si>
    <r>
      <rPr>
        <b/>
        <sz val="11"/>
        <color theme="4"/>
        <rFont val="Aptos Narrow"/>
        <family val="2"/>
        <scheme val="minor"/>
      </rPr>
      <t>1. Not Considering / Not Started</t>
    </r>
    <r>
      <rPr>
        <sz val="11"/>
        <color theme="4"/>
        <rFont val="Aptos Narrow"/>
        <family val="2"/>
        <scheme val="minor"/>
      </rPr>
      <t xml:space="preserve"> - We have no timeline for when quantum computing will deliver value. We view it as "futuristic" R&amp;D with an undefined horizon.</t>
    </r>
  </si>
  <si>
    <r>
      <rPr>
        <b/>
        <sz val="11"/>
        <color theme="4"/>
        <rFont val="Aptos Narrow"/>
        <family val="2"/>
        <scheme val="minor"/>
      </rPr>
      <t>1. Not Considering / Not Started</t>
    </r>
    <r>
      <rPr>
        <sz val="11"/>
        <color theme="4"/>
        <rFont val="Aptos Narrow"/>
        <family val="2"/>
        <scheme val="minor"/>
      </rPr>
      <t xml:space="preserve"> - We manage quantum projects ad-hoc. There are no formal processes or specific governance structures for quantum initiatives.</t>
    </r>
  </si>
  <si>
    <r>
      <rPr>
        <b/>
        <sz val="11"/>
        <color theme="4"/>
        <rFont val="Aptos Narrow"/>
        <family val="2"/>
        <scheme val="minor"/>
      </rPr>
      <t>1. Not Considering / Not Started</t>
    </r>
    <r>
      <rPr>
        <sz val="11"/>
        <color theme="4"/>
        <rFont val="Aptos Narrow"/>
        <family val="2"/>
        <scheme val="minor"/>
      </rPr>
      <t xml:space="preserve"> - We are only investing in quantum-specific hardware or pilots. We have not identified capabilities that serve both classical and quantum needs.</t>
    </r>
  </si>
  <si>
    <r>
      <rPr>
        <b/>
        <sz val="11"/>
        <color theme="4"/>
        <rFont val="Aptos Narrow"/>
        <family val="2"/>
        <scheme val="minor"/>
      </rPr>
      <t>1. Not Considering / Not Started</t>
    </r>
    <r>
      <rPr>
        <sz val="11"/>
        <color theme="4"/>
        <rFont val="Aptos Narrow"/>
        <family val="2"/>
        <scheme val="minor"/>
      </rPr>
      <t xml:space="preserve"> - We have not explored any quantum use cases. We have no active experiments or pilots running.</t>
    </r>
  </si>
  <si>
    <r>
      <rPr>
        <b/>
        <sz val="11"/>
        <color theme="4"/>
        <rFont val="Aptos Narrow"/>
        <family val="2"/>
        <scheme val="minor"/>
      </rPr>
      <t xml:space="preserve">1. Not Considering / Not Started </t>
    </r>
    <r>
      <rPr>
        <sz val="11"/>
        <color theme="4"/>
        <rFont val="Aptos Narrow"/>
        <family val="2"/>
        <scheme val="minor"/>
      </rPr>
      <t>- We accept standard vendor terms. We have not reviewed IP ownership clauses in our cloud access or consulting contracts.</t>
    </r>
  </si>
  <si>
    <r>
      <rPr>
        <b/>
        <sz val="11"/>
        <color theme="4"/>
        <rFont val="Aptos Narrow"/>
        <family val="2"/>
        <scheme val="minor"/>
      </rPr>
      <t>1. Not Considering / Not Started</t>
    </r>
    <r>
      <rPr>
        <sz val="11"/>
        <color theme="4"/>
        <rFont val="Aptos Narrow"/>
        <family val="2"/>
        <scheme val="minor"/>
      </rPr>
      <t xml:space="preserve"> - We have no model for IP classification. We treat all innovation the same, usually by ignoring it or letting the individual researcher decide.</t>
    </r>
  </si>
  <si>
    <r>
      <rPr>
        <b/>
        <sz val="11"/>
        <color theme="4"/>
        <rFont val="Aptos Narrow"/>
        <family val="2"/>
        <scheme val="minor"/>
      </rPr>
      <t>1. Not Considering / Not Started</t>
    </r>
    <r>
      <rPr>
        <sz val="11"/>
        <color theme="4"/>
        <rFont val="Aptos Narrow"/>
        <family val="2"/>
        <scheme val="minor"/>
      </rPr>
      <t xml:space="preserve"> - We have no process for capturing inventions. We rely on researchers to self-identify if they have created something valuable.</t>
    </r>
  </si>
  <si>
    <r>
      <rPr>
        <b/>
        <sz val="11"/>
        <color theme="4"/>
        <rFont val="Aptos Narrow"/>
        <family val="2"/>
        <scheme val="minor"/>
      </rPr>
      <t>1. Not Considering / Not Started</t>
    </r>
    <r>
      <rPr>
        <sz val="11"/>
        <color theme="4"/>
        <rFont val="Aptos Narrow"/>
        <family val="2"/>
        <scheme val="minor"/>
      </rPr>
      <t xml:space="preserve"> - We have zero quantum-specific patent filings. We rely entirely on trade secrets or assume we will license everything from vendors.</t>
    </r>
  </si>
  <si>
    <r>
      <rPr>
        <b/>
        <sz val="11"/>
        <color theme="4"/>
        <rFont val="Aptos Narrow"/>
        <family val="2"/>
        <scheme val="minor"/>
      </rPr>
      <t>1. Not Considering / Not Started</t>
    </r>
    <r>
      <rPr>
        <sz val="11"/>
        <color theme="4"/>
        <rFont val="Aptos Narrow"/>
        <family val="2"/>
        <scheme val="minor"/>
      </rPr>
      <t xml:space="preserve"> - We view our quantum work solely for internal use. We have no intention or mechanism to license our discoveries to third parties.</t>
    </r>
  </si>
  <si>
    <r>
      <rPr>
        <b/>
        <sz val="11"/>
        <color theme="4"/>
        <rFont val="Aptos Narrow"/>
        <family val="2"/>
        <scheme val="minor"/>
      </rPr>
      <t>1. Not Considering / Not Started</t>
    </r>
    <r>
      <rPr>
        <sz val="11"/>
        <color theme="4"/>
        <rFont val="Aptos Narrow"/>
        <family val="2"/>
        <scheme val="minor"/>
      </rPr>
      <t xml:space="preserve"> - We have had no contact with regulators regarding quantum computing. We assume existing frameworks for classical simulation will apply automatically.</t>
    </r>
  </si>
  <si>
    <r>
      <rPr>
        <b/>
        <sz val="11"/>
        <color theme="4"/>
        <rFont val="Aptos Narrow"/>
        <family val="2"/>
        <scheme val="minor"/>
      </rPr>
      <t xml:space="preserve">1. Not Considering / Not Started </t>
    </r>
    <r>
      <rPr>
        <sz val="11"/>
        <color theme="4"/>
        <rFont val="Aptos Narrow"/>
        <family val="2"/>
        <scheme val="minor"/>
      </rPr>
      <t>- We pay no attention to quantum standards. We use whatever proprietary format our hardware vendor provides (e.g., vendor-specific assembly languages).</t>
    </r>
  </si>
  <si>
    <r>
      <rPr>
        <b/>
        <sz val="11"/>
        <color theme="4"/>
        <rFont val="Aptos Narrow"/>
        <family val="2"/>
        <scheme val="minor"/>
      </rPr>
      <t xml:space="preserve">1. Not Considering / Not Started </t>
    </r>
    <r>
      <rPr>
        <sz val="11"/>
        <color theme="4"/>
        <rFont val="Aptos Narrow"/>
        <family val="2"/>
        <scheme val="minor"/>
      </rPr>
      <t>- We operate in stealth mode or isolation. We do not engage with other players in the quantum ecosystem.</t>
    </r>
  </si>
  <si>
    <r>
      <rPr>
        <b/>
        <sz val="11"/>
        <color theme="4"/>
        <rFont val="Aptos Narrow"/>
        <family val="2"/>
        <scheme val="minor"/>
      </rPr>
      <t>1. Not Considering / Not Started</t>
    </r>
    <r>
      <rPr>
        <sz val="11"/>
        <color theme="4"/>
        <rFont val="Aptos Narrow"/>
        <family val="2"/>
        <scheme val="minor"/>
      </rPr>
      <t xml:space="preserve"> - Our quantum code exists as local Python scripts on individual laptops. We do not use containerization technology (e.g., Docker) for quantum workloads.</t>
    </r>
  </si>
  <si>
    <r>
      <rPr>
        <b/>
        <sz val="11"/>
        <color theme="4"/>
        <rFont val="Aptos Narrow"/>
        <family val="2"/>
        <scheme val="minor"/>
      </rPr>
      <t>1. Not Considering / Not Started</t>
    </r>
    <r>
      <rPr>
        <sz val="11"/>
        <color theme="4"/>
        <rFont val="Aptos Narrow"/>
        <family val="2"/>
        <scheme val="minor"/>
      </rPr>
      <t xml:space="preserve"> - We run quantum jobs manually. We treat the quantum computer as a separate "lab experiment." Data is manually extracted from the QPU and loaded into classical tools.</t>
    </r>
  </si>
  <si>
    <r>
      <rPr>
        <b/>
        <sz val="11"/>
        <color theme="4"/>
        <rFont val="Aptos Narrow"/>
        <family val="2"/>
        <scheme val="minor"/>
      </rPr>
      <t>1. Not Considering / Not Started</t>
    </r>
    <r>
      <rPr>
        <sz val="11"/>
        <color theme="4"/>
        <rFont val="Aptos Narrow"/>
        <family val="2"/>
        <scheme val="minor"/>
      </rPr>
      <t xml:space="preserve"> - We run circuits "as is" without optimization. We accept high wait times and long execution durations as the cost of doing business.</t>
    </r>
  </si>
  <si>
    <r>
      <rPr>
        <b/>
        <sz val="11"/>
        <color theme="4"/>
        <rFont val="Aptos Narrow"/>
        <family val="2"/>
        <scheme val="minor"/>
      </rPr>
      <t>1. Not Considering / Not Started</t>
    </r>
    <r>
      <rPr>
        <sz val="11"/>
        <color theme="4"/>
        <rFont val="Aptos Narrow"/>
        <family val="2"/>
        <scheme val="minor"/>
      </rPr>
      <t xml:space="preserve"> - Our quantum workloads are isolated "science experiments." The data stays within the quantum team. We have no connection to enterprise IT systems.</t>
    </r>
  </si>
  <si>
    <r>
      <rPr>
        <b/>
        <sz val="11"/>
        <color theme="4"/>
        <rFont val="Aptos Narrow"/>
        <family val="2"/>
        <scheme val="minor"/>
      </rPr>
      <t xml:space="preserve">1. Not Considering / Not Started </t>
    </r>
    <r>
      <rPr>
        <sz val="11"/>
        <color theme="4"/>
        <rFont val="Aptos Narrow"/>
        <family val="2"/>
        <scheme val="minor"/>
      </rPr>
      <t>- We manage AI and Quantum as completely separate silos. Our data science team has no interaction with the quantum research team.</t>
    </r>
  </si>
  <si>
    <r>
      <rPr>
        <b/>
        <sz val="11"/>
        <color theme="4"/>
        <rFont val="Aptos Narrow"/>
        <family val="2"/>
        <scheme val="minor"/>
      </rPr>
      <t>1. Not Considering / Not Started</t>
    </r>
    <r>
      <rPr>
        <sz val="11"/>
        <color theme="4"/>
        <rFont val="Aptos Narrow"/>
        <family val="2"/>
        <scheme val="minor"/>
      </rPr>
      <t xml:space="preserve"> - We run standard classical models only. We have not attempted to identify which parts of our math could be offloaded to a quantum processor.</t>
    </r>
  </si>
  <si>
    <r>
      <rPr>
        <b/>
        <sz val="11"/>
        <color theme="4"/>
        <rFont val="Aptos Narrow"/>
        <family val="2"/>
        <scheme val="minor"/>
      </rPr>
      <t>1. Not Considering / Not Started</t>
    </r>
    <r>
      <rPr>
        <sz val="11"/>
        <color theme="4"/>
        <rFont val="Aptos Narrow"/>
        <family val="2"/>
        <scheme val="minor"/>
      </rPr>
      <t xml:space="preserve"> - Our data is siloed, unstructured, and often manually managed (spreadsheets). We have no standardized data governance.</t>
    </r>
  </si>
  <si>
    <r>
      <rPr>
        <b/>
        <sz val="11"/>
        <color theme="4"/>
        <rFont val="Aptos Narrow"/>
        <family val="2"/>
        <scheme val="minor"/>
      </rPr>
      <t>1. Not Considering / Not Started</t>
    </r>
    <r>
      <rPr>
        <sz val="11"/>
        <color theme="4"/>
        <rFont val="Aptos Narrow"/>
        <family val="2"/>
        <scheme val="minor"/>
      </rPr>
      <t xml:space="preserve"> - We do not use cloud-based quantum tools. We rely on local simulators on laptops or have no access to quantum hardware at all.</t>
    </r>
  </si>
  <si>
    <r>
      <rPr>
        <b/>
        <sz val="11"/>
        <color theme="4"/>
        <rFont val="Aptos Narrow"/>
        <family val="2"/>
        <scheme val="minor"/>
      </rPr>
      <t>1. Not Considering / Not Started</t>
    </r>
    <r>
      <rPr>
        <sz val="11"/>
        <color theme="4"/>
        <rFont val="Aptos Narrow"/>
        <family val="2"/>
        <scheme val="minor"/>
      </rPr>
      <t xml:space="preserve"> - We deploy quantum code manually. We do not have automated testing or deployment pipelines. Updates are ad-hoc.</t>
    </r>
  </si>
  <si>
    <r>
      <rPr>
        <b/>
        <sz val="11"/>
        <color theme="4"/>
        <rFont val="Aptos Narrow"/>
        <family val="2"/>
        <scheme val="minor"/>
      </rPr>
      <t>1. Not Considering / Not Started</t>
    </r>
    <r>
      <rPr>
        <sz val="11"/>
        <color theme="4"/>
        <rFont val="Aptos Narrow"/>
        <family val="2"/>
        <scheme val="minor"/>
      </rPr>
      <t xml:space="preserve"> - We have no central administration. Developers create their own accounts (sometimes with personal emails) and put expenses on individual credit cards.</t>
    </r>
  </si>
  <si>
    <r>
      <rPr>
        <b/>
        <sz val="11"/>
        <color theme="4"/>
        <rFont val="Aptos Narrow"/>
        <family val="2"/>
        <scheme val="minor"/>
      </rPr>
      <t>1. Not Considering / Not Started</t>
    </r>
    <r>
      <rPr>
        <sz val="11"/>
        <color theme="4"/>
        <rFont val="Aptos Narrow"/>
        <family val="2"/>
        <scheme val="minor"/>
      </rPr>
      <t xml:space="preserve"> - We develop our quantum strategy independently of vendor roadmaps. We assume "the hardware will be there" when we are ready.</t>
    </r>
  </si>
  <si>
    <r>
      <rPr>
        <b/>
        <sz val="11"/>
        <color theme="4"/>
        <rFont val="Aptos Narrow"/>
        <family val="2"/>
        <scheme val="minor"/>
      </rPr>
      <t>1. Not Considering / Not Started</t>
    </r>
    <r>
      <rPr>
        <sz val="11"/>
        <color theme="4"/>
        <rFont val="Aptos Narrow"/>
        <family val="2"/>
        <scheme val="minor"/>
      </rPr>
      <t xml:space="preserve"> - Our quantum team operates as a completely separate unit (e.g., "Special Projects"). There is no formal interaction or shared roadmap with the main R&amp;D division.</t>
    </r>
  </si>
  <si>
    <r>
      <rPr>
        <b/>
        <sz val="11"/>
        <color theme="4"/>
        <rFont val="Aptos Narrow"/>
        <family val="2"/>
        <scheme val="minor"/>
      </rPr>
      <t>1. Not Considering / Not Started</t>
    </r>
    <r>
      <rPr>
        <sz val="11"/>
        <color theme="4"/>
        <rFont val="Aptos Narrow"/>
        <family val="2"/>
        <scheme val="minor"/>
      </rPr>
      <t xml:space="preserve"> - Quantum is viewed entirely as an "IT Project" or "R&amp;D Experiment." Business leaders are passive observers or unaware.</t>
    </r>
  </si>
  <si>
    <r>
      <rPr>
        <b/>
        <sz val="11"/>
        <color theme="4"/>
        <rFont val="Aptos Narrow"/>
        <family val="2"/>
        <scheme val="minor"/>
      </rPr>
      <t xml:space="preserve">1. Not Considering / Not Started </t>
    </r>
    <r>
      <rPr>
        <sz val="11"/>
        <color theme="4"/>
        <rFont val="Aptos Narrow"/>
        <family val="2"/>
        <scheme val="minor"/>
      </rPr>
      <t>- We have no central body. Knowledge is scattered across individual laptops and minds. If our lead quantum engineer leaves, their knowledge leaves with them.</t>
    </r>
  </si>
  <si>
    <r>
      <rPr>
        <b/>
        <sz val="11"/>
        <color theme="4"/>
        <rFont val="Aptos Narrow"/>
        <family val="2"/>
        <scheme val="minor"/>
      </rPr>
      <t xml:space="preserve">1. Not Considering / Not Started </t>
    </r>
    <r>
      <rPr>
        <sz val="11"/>
        <color theme="4"/>
        <rFont val="Aptos Narrow"/>
        <family val="2"/>
        <scheme val="minor"/>
      </rPr>
      <t>- We have no dedicated budget. Any quantum work is done "off the side of the desk" or uses leftover discretionary funds from other IT projects at the end of the year.</t>
    </r>
  </si>
  <si>
    <r>
      <rPr>
        <b/>
        <sz val="11"/>
        <color theme="4"/>
        <rFont val="Aptos Narrow"/>
        <family val="2"/>
        <scheme val="minor"/>
      </rPr>
      <t xml:space="preserve">1. Not Considering / Not Started </t>
    </r>
    <r>
      <rPr>
        <sz val="11"/>
        <color theme="4"/>
        <rFont val="Aptos Narrow"/>
        <family val="2"/>
        <scheme val="minor"/>
      </rPr>
      <t>- We have no dedicated quantum staff. We rely on "enthusiasts" from other departments who dabble in quantum during their spare time.</t>
    </r>
  </si>
  <si>
    <r>
      <rPr>
        <b/>
        <sz val="11"/>
        <color theme="4"/>
        <rFont val="Aptos Narrow"/>
        <family val="2"/>
        <scheme val="minor"/>
      </rPr>
      <t>1. Not Considering / Not Started</t>
    </r>
    <r>
      <rPr>
        <sz val="11"/>
        <color theme="4"/>
        <rFont val="Aptos Narrow"/>
        <family val="2"/>
        <scheme val="minor"/>
      </rPr>
      <t xml:space="preserve"> - We are a "Black Box." Our employment contracts strictly forbid contributing to open source or publishing papers. We prioritize total secrecy over reputation.</t>
    </r>
  </si>
  <si>
    <r>
      <rPr>
        <b/>
        <sz val="11"/>
        <color theme="4"/>
        <rFont val="Aptos Narrow"/>
        <family val="2"/>
        <scheme val="minor"/>
      </rPr>
      <t>1. Not Considering / Not Started</t>
    </r>
    <r>
      <rPr>
        <sz val="11"/>
        <color theme="4"/>
        <rFont val="Aptos Narrow"/>
        <family val="2"/>
        <scheme val="minor"/>
      </rPr>
      <t xml:space="preserve"> - We have a Zero Defect culture. Failure is viewed as incompetence. If a project doesn't deliver ROI, the lead is reprimanded. We prioritize execution over exploration.</t>
    </r>
  </si>
  <si>
    <r>
      <rPr>
        <b/>
        <sz val="11"/>
        <color theme="4"/>
        <rFont val="Aptos Narrow"/>
        <family val="2"/>
        <scheme val="minor"/>
      </rPr>
      <t>1. Not Considering / Not Started</t>
    </r>
    <r>
      <rPr>
        <sz val="11"/>
        <color theme="4"/>
        <rFont val="Aptos Narrow"/>
        <family val="2"/>
        <scheme val="minor"/>
      </rPr>
      <t xml:space="preserve"> - We have a "quarter-to-quarter" mindset. If a project doesn't show ROI in 6 months, it is cancelled. We view quantum as a "moonshot" that we can't afford right now.</t>
    </r>
  </si>
  <si>
    <r>
      <rPr>
        <b/>
        <sz val="11"/>
        <color theme="4"/>
        <rFont val="Aptos Narrow"/>
        <family val="2"/>
        <scheme val="minor"/>
      </rPr>
      <t>1. Not Considering / Not Started</t>
    </r>
    <r>
      <rPr>
        <sz val="11"/>
        <color theme="4"/>
        <rFont val="Aptos Narrow"/>
        <family val="2"/>
        <scheme val="minor"/>
      </rPr>
      <t xml:space="preserve"> - We have Whiteboard Warriors. We have brilliant mathematical theories on the whiteboard, but no process for coding, testing, or deploying them. Ideas die in the room where they were born.</t>
    </r>
  </si>
  <si>
    <r>
      <rPr>
        <b/>
        <sz val="11"/>
        <color theme="4"/>
        <rFont val="Aptos Narrow"/>
        <family val="2"/>
        <scheme val="minor"/>
      </rPr>
      <t>1. Not Considering / Not Started</t>
    </r>
    <r>
      <rPr>
        <sz val="11"/>
        <color theme="4"/>
        <rFont val="Aptos Narrow"/>
        <family val="2"/>
        <scheme val="minor"/>
      </rPr>
      <t xml:space="preserve"> - Quantum computing is absent from our corporate strategy documents. It is considered a niche science experiment with no projected impact on the P&amp;L over the next decade.</t>
    </r>
  </si>
  <si>
    <r>
      <rPr>
        <b/>
        <sz val="11"/>
        <color theme="4"/>
        <rFont val="Aptos Narrow"/>
        <family val="2"/>
        <scheme val="minor"/>
      </rPr>
      <t xml:space="preserve">1. Not Considering / Not Started </t>
    </r>
    <r>
      <rPr>
        <sz val="11"/>
        <color theme="4"/>
        <rFont val="Aptos Narrow"/>
        <family val="2"/>
        <scheme val="minor"/>
      </rPr>
      <t>- We choose projects based on technical interest or what the vendor suggests. We have no calculations regarding business value. We are doing "science for science's sake."</t>
    </r>
  </si>
  <si>
    <r>
      <rPr>
        <b/>
        <sz val="11"/>
        <color theme="4"/>
        <rFont val="Aptos Narrow"/>
        <family val="2"/>
        <scheme val="minor"/>
      </rPr>
      <t xml:space="preserve">1. Not Considering / Not Started </t>
    </r>
    <r>
      <rPr>
        <sz val="11"/>
        <color theme="4"/>
        <rFont val="Aptos Narrow"/>
        <family val="2"/>
        <scheme val="minor"/>
      </rPr>
      <t>- We have no formal certification process for quantum code. If the researcher says "it works," we deploy it. We rely entirely on trust rather than verification.</t>
    </r>
  </si>
  <si>
    <r>
      <rPr>
        <b/>
        <sz val="11"/>
        <color theme="4"/>
        <rFont val="Aptos Narrow"/>
        <family val="2"/>
        <scheme val="minor"/>
      </rPr>
      <t xml:space="preserve">1. Not Considering / Not Started </t>
    </r>
    <r>
      <rPr>
        <sz val="11"/>
        <color theme="4"/>
        <rFont val="Aptos Narrow"/>
        <family val="2"/>
        <scheme val="minor"/>
      </rPr>
      <t>- We work in Waterfall. We define a 6-month research goal and don't check the results until the end. We view Sprints as something only software developers do.</t>
    </r>
  </si>
  <si>
    <r>
      <rPr>
        <b/>
        <sz val="11"/>
        <color theme="4"/>
        <rFont val="Aptos Narrow"/>
        <family val="2"/>
        <scheme val="minor"/>
      </rPr>
      <t>1. Not Considering / Not Started</t>
    </r>
    <r>
      <rPr>
        <sz val="11"/>
        <color theme="4"/>
        <rFont val="Aptos Narrow"/>
        <family val="2"/>
        <scheme val="minor"/>
      </rPr>
      <t xml:space="preserve"> - We have a Fault Tolerance or Bust mindset. We believe current (NISQ) devices are useless noise. We plan to wait until 2030+ to deploy our first solution.</t>
    </r>
  </si>
  <si>
    <r>
      <rPr>
        <b/>
        <sz val="11"/>
        <color theme="4"/>
        <rFont val="Aptos Narrow"/>
        <family val="2"/>
        <scheme val="minor"/>
      </rPr>
      <t>1. Not Considering / Not Started</t>
    </r>
    <r>
      <rPr>
        <sz val="11"/>
        <color theme="4"/>
        <rFont val="Aptos Narrow"/>
        <family val="2"/>
        <scheme val="minor"/>
      </rPr>
      <t xml:space="preserve"> - We practice "Write Once, Run Forever." We built a pilot two years ago and haven't touched the code since. We are running 2023 algorithms on 2025 hardware, wasting the new capabilities.</t>
    </r>
  </si>
  <si>
    <r>
      <rPr>
        <b/>
        <sz val="11"/>
        <color theme="4"/>
        <rFont val="Aptos Narrow"/>
        <family val="2"/>
        <scheme val="minor"/>
      </rPr>
      <t>1. Not Considering / Not Started</t>
    </r>
    <r>
      <rPr>
        <sz val="11"/>
        <color theme="4"/>
        <rFont val="Aptos Narrow"/>
        <family val="2"/>
        <scheme val="minor"/>
      </rPr>
      <t xml:space="preserve"> - We have no specific security protocols for quantum. We treat quantum jobs as public research and often send data to cloud providers without encryption or anonymization.</t>
    </r>
  </si>
  <si>
    <r>
      <rPr>
        <b/>
        <sz val="11"/>
        <color theme="4"/>
        <rFont val="Aptos Narrow"/>
        <family val="2"/>
        <scheme val="minor"/>
      </rPr>
      <t>2. Evaluating / Planning</t>
    </r>
    <r>
      <rPr>
        <sz val="11"/>
        <color theme="4"/>
        <rFont val="Aptos Narrow"/>
        <family val="2"/>
        <scheme val="minor"/>
      </rPr>
      <t xml:space="preserve"> - We have begun initial, ad-hoc discussions or literature reviews to understand where quantum might apply, but no formal mapping exists.</t>
    </r>
  </si>
  <si>
    <r>
      <rPr>
        <b/>
        <sz val="11"/>
        <color theme="4"/>
        <rFont val="Aptos Narrow"/>
        <family val="2"/>
        <scheme val="minor"/>
      </rPr>
      <t>2. Evaluating / Planning</t>
    </r>
    <r>
      <rPr>
        <sz val="11"/>
        <color theme="4"/>
        <rFont val="Aptos Narrow"/>
        <family val="2"/>
        <scheme val="minor"/>
      </rPr>
      <t xml:space="preserve"> - We are reviewing external analyst reports (like this one) to understand general timelines, but we have no internal forecasting capability.</t>
    </r>
  </si>
  <si>
    <r>
      <rPr>
        <b/>
        <sz val="11"/>
        <color theme="4"/>
        <rFont val="Aptos Narrow"/>
        <family val="2"/>
        <scheme val="minor"/>
      </rPr>
      <t>2. Evaluating / Planning</t>
    </r>
    <r>
      <rPr>
        <sz val="11"/>
        <color theme="4"/>
        <rFont val="Aptos Narrow"/>
        <family val="2"/>
        <scheme val="minor"/>
      </rPr>
      <t xml:space="preserve"> - We rely on general news feeds and occasional ad-hoc reading of public articles to stay informed, but there is no structured intake.</t>
    </r>
  </si>
  <si>
    <r>
      <rPr>
        <b/>
        <sz val="11"/>
        <color theme="4"/>
        <rFont val="Aptos Narrow"/>
        <family val="2"/>
        <scheme val="minor"/>
      </rPr>
      <t>2. Evaluating / Planning</t>
    </r>
    <r>
      <rPr>
        <sz val="11"/>
        <color theme="4"/>
        <rFont val="Aptos Narrow"/>
        <family val="2"/>
        <scheme val="minor"/>
      </rPr>
      <t xml:space="preserve"> - We are aware of major startup names but evaluate them ad-hoc. We treat all vendors roughly the same without a structured due diligence framework.</t>
    </r>
  </si>
  <si>
    <r>
      <rPr>
        <b/>
        <sz val="11"/>
        <color theme="4"/>
        <rFont val="Aptos Narrow"/>
        <family val="2"/>
        <scheme val="minor"/>
      </rPr>
      <t>2. Evaluating / Planning</t>
    </r>
    <r>
      <rPr>
        <sz val="11"/>
        <color theme="4"/>
        <rFont val="Aptos Narrow"/>
        <family val="2"/>
        <scheme val="minor"/>
      </rPr>
      <t xml:space="preserve"> - We have discussed "Buy vs. Build" in strategy meetings. We acknowledge that an acquisition might be necessary eventually, but have no targets.</t>
    </r>
  </si>
  <si>
    <r>
      <rPr>
        <b/>
        <sz val="11"/>
        <color theme="4"/>
        <rFont val="Aptos Narrow"/>
        <family val="2"/>
        <scheme val="minor"/>
      </rPr>
      <t xml:space="preserve">2. Evaluating / Planning </t>
    </r>
    <r>
      <rPr>
        <sz val="11"/>
        <color theme="4"/>
        <rFont val="Aptos Narrow"/>
        <family val="2"/>
        <scheme val="minor"/>
      </rPr>
      <t>- We are learning the theoretical differences. We understand concepts like "exponential speedup" in the abstract, but haven't applied them to our specific workflows.</t>
    </r>
  </si>
  <si>
    <r>
      <rPr>
        <b/>
        <sz val="11"/>
        <color theme="4"/>
        <rFont val="Aptos Narrow"/>
        <family val="2"/>
        <scheme val="minor"/>
      </rPr>
      <t xml:space="preserve">2. Evaluating / Planning </t>
    </r>
    <r>
      <rPr>
        <sz val="11"/>
        <color theme="4"/>
        <rFont val="Aptos Narrow"/>
        <family val="2"/>
        <scheme val="minor"/>
      </rPr>
      <t>- We have general expectations (e.g., "in the next decade") based on industry reports, but no specific roadmap for our own use cases.</t>
    </r>
  </si>
  <si>
    <r>
      <rPr>
        <b/>
        <sz val="11"/>
        <color theme="4"/>
        <rFont val="Aptos Narrow"/>
        <family val="2"/>
        <scheme val="minor"/>
      </rPr>
      <t>2. Evaluating / Planning</t>
    </r>
    <r>
      <rPr>
        <sz val="11"/>
        <color theme="4"/>
        <rFont val="Aptos Narrow"/>
        <family val="2"/>
        <scheme val="minor"/>
      </rPr>
      <t xml:space="preserve">  - We are reviewing our existing IT governance to see if it applies to quantum. We recognize the need for specific rules but haven't written them.</t>
    </r>
  </si>
  <si>
    <r>
      <rPr>
        <b/>
        <sz val="11"/>
        <color theme="4"/>
        <rFont val="Aptos Narrow"/>
        <family val="2"/>
        <scheme val="minor"/>
      </rPr>
      <t>2. Evaluating / Planning</t>
    </r>
    <r>
      <rPr>
        <sz val="11"/>
        <color theme="4"/>
        <rFont val="Aptos Narrow"/>
        <family val="2"/>
        <scheme val="minor"/>
      </rPr>
      <t xml:space="preserve"> - We are identifying which existing capabilities (e.g., advanced linear algebra, HPC workflows) would benefit from a quantum-focus update.</t>
    </r>
  </si>
  <si>
    <r>
      <rPr>
        <b/>
        <sz val="11"/>
        <color theme="4"/>
        <rFont val="Aptos Narrow"/>
        <family val="2"/>
        <scheme val="minor"/>
      </rPr>
      <t>2. Evaluating / Planning</t>
    </r>
    <r>
      <rPr>
        <sz val="11"/>
        <color theme="4"/>
        <rFont val="Aptos Narrow"/>
        <family val="2"/>
        <scheme val="minor"/>
      </rPr>
      <t xml:space="preserve"> - We are researching potential use cases on paper. We are debating which problem (e.g., Portfolio Optimization vs. Risk Analysis) fits best, but haven't run code.</t>
    </r>
  </si>
  <si>
    <r>
      <rPr>
        <b/>
        <sz val="11"/>
        <color theme="4"/>
        <rFont val="Aptos Narrow"/>
        <family val="2"/>
        <scheme val="minor"/>
      </rPr>
      <t>2. Evaluating / Planning</t>
    </r>
    <r>
      <rPr>
        <sz val="11"/>
        <color theme="4"/>
        <rFont val="Aptos Narrow"/>
        <family val="2"/>
        <scheme val="minor"/>
      </rPr>
      <t xml:space="preserve"> - Legal is reviewing our standard "Master Services Agreements" (MSAs) to see if they cover quantum-specific inventions. We know we should own it, but have no specific clauses yet.</t>
    </r>
  </si>
  <si>
    <r>
      <rPr>
        <b/>
        <sz val="11"/>
        <color theme="4"/>
        <rFont val="Aptos Narrow"/>
        <family val="2"/>
        <scheme val="minor"/>
      </rPr>
      <t>2. Evaluating / Planning</t>
    </r>
    <r>
      <rPr>
        <sz val="11"/>
        <color theme="4"/>
        <rFont val="Aptos Narrow"/>
        <family val="2"/>
        <scheme val="minor"/>
      </rPr>
      <t xml:space="preserve"> - We are discussing the trade-offs between patents and trade secrets. We understand that "secrecy" might be better for algorithms, but we have no formal guidelines.</t>
    </r>
  </si>
  <si>
    <r>
      <rPr>
        <b/>
        <sz val="11"/>
        <color theme="4"/>
        <rFont val="Aptos Narrow"/>
        <family val="2"/>
        <scheme val="minor"/>
      </rPr>
      <t>2. Evaluating / Planning</t>
    </r>
    <r>
      <rPr>
        <sz val="11"/>
        <color theme="4"/>
        <rFont val="Aptos Narrow"/>
        <family val="2"/>
        <scheme val="minor"/>
      </rPr>
      <t xml:space="preserve"> - We encourage teams to share ideas, but reviews are ad-hoc. A manager might review a concept if a researcher brings it up, but there is no standard criteria.</t>
    </r>
  </si>
  <si>
    <r>
      <rPr>
        <b/>
        <sz val="11"/>
        <color theme="4"/>
        <rFont val="Aptos Narrow"/>
        <family val="2"/>
        <scheme val="minor"/>
      </rPr>
      <t>2. Evaluating / Planning</t>
    </r>
    <r>
      <rPr>
        <sz val="11"/>
        <color theme="4"/>
        <rFont val="Aptos Narrow"/>
        <family val="2"/>
        <scheme val="minor"/>
      </rPr>
      <t xml:space="preserve"> - We are conducting "Freedom to Operate" searches. We are identifying whitespace where we could file, but have not yet submitted an application.</t>
    </r>
  </si>
  <si>
    <r>
      <rPr>
        <b/>
        <sz val="11"/>
        <color theme="4"/>
        <rFont val="Aptos Narrow"/>
        <family val="2"/>
        <scheme val="minor"/>
      </rPr>
      <t>2. Evaluating / Planning</t>
    </r>
    <r>
      <rPr>
        <sz val="11"/>
        <color theme="4"/>
        <rFont val="Aptos Narrow"/>
        <family val="2"/>
        <scheme val="minor"/>
      </rPr>
      <t xml:space="preserve"> - We are identifying which parts of our IP portfolio could be licensed (e.g., a specific data encoding method) versus what must remain exclusive.</t>
    </r>
  </si>
  <si>
    <r>
      <rPr>
        <b/>
        <sz val="11"/>
        <color theme="4"/>
        <rFont val="Aptos Narrow"/>
        <family val="2"/>
        <scheme val="minor"/>
      </rPr>
      <t>2. Evaluating / Planning</t>
    </r>
    <r>
      <rPr>
        <sz val="11"/>
        <color theme="4"/>
        <rFont val="Aptos Narrow"/>
        <family val="2"/>
        <scheme val="minor"/>
      </rPr>
      <t xml:space="preserve"> - We are monitoring regulatory news (e.g., export controls on QPU hardware). We are internalizing the guidelines but have not reached out to agencies.</t>
    </r>
  </si>
  <si>
    <r>
      <rPr>
        <b/>
        <sz val="11"/>
        <color theme="4"/>
        <rFont val="Aptos Narrow"/>
        <family val="2"/>
        <scheme val="minor"/>
      </rPr>
      <t>2. Evaluating / Planning</t>
    </r>
    <r>
      <rPr>
        <sz val="11"/>
        <color theme="4"/>
        <rFont val="Aptos Narrow"/>
        <family val="2"/>
        <scheme val="minor"/>
      </rPr>
      <t xml:space="preserve"> - We are monitoring the development of standards like NIST’s Post-Quantum Cryptography (PQC) or the Quantum Intermediate Representation (QIR).</t>
    </r>
  </si>
  <si>
    <r>
      <rPr>
        <b/>
        <sz val="11"/>
        <color theme="4"/>
        <rFont val="Aptos Narrow"/>
        <family val="2"/>
        <scheme val="minor"/>
      </rPr>
      <t>2. Evaluating / Planning</t>
    </r>
    <r>
      <rPr>
        <sz val="11"/>
        <color theme="4"/>
        <rFont val="Aptos Narrow"/>
        <family val="2"/>
        <scheme val="minor"/>
      </rPr>
      <t xml:space="preserve"> - We have identified relevant consortiums (e.g., QED-C, national quantum initiatives). We are debating membership fees and value but haven't joined.</t>
    </r>
  </si>
  <si>
    <r>
      <rPr>
        <b/>
        <sz val="11"/>
        <color theme="4"/>
        <rFont val="Aptos Narrow"/>
        <family val="2"/>
        <scheme val="minor"/>
      </rPr>
      <t>2. Evaluating / Planning</t>
    </r>
    <r>
      <rPr>
        <sz val="11"/>
        <color theme="4"/>
        <rFont val="Aptos Narrow"/>
        <family val="2"/>
        <scheme val="minor"/>
      </rPr>
      <t xml:space="preserve"> - We acknowledge the need for containerization. We are reviewing how to adapt our standard DevOps practices to handle quantum libraries (e.g., Qiskit, Cirq).</t>
    </r>
  </si>
  <si>
    <r>
      <rPr>
        <b/>
        <sz val="11"/>
        <color theme="4"/>
        <rFont val="Aptos Narrow"/>
        <family val="2"/>
        <scheme val="minor"/>
      </rPr>
      <t>2. Evaluating / Planning</t>
    </r>
    <r>
      <rPr>
        <sz val="11"/>
        <color theme="4"/>
        <rFont val="Aptos Narrow"/>
        <family val="2"/>
        <scheme val="minor"/>
      </rPr>
      <t xml:space="preserve"> - We are designing the architecture for a hybrid workflow. We are evaluating tools (e.g., Qiskit Runtime, NVIDIA CUDA-Q) that can manage the interplay.</t>
    </r>
  </si>
  <si>
    <r>
      <rPr>
        <b/>
        <sz val="11"/>
        <color theme="4"/>
        <rFont val="Aptos Narrow"/>
        <family val="2"/>
        <scheme val="minor"/>
      </rPr>
      <t>2. Evaluating / Planning</t>
    </r>
    <r>
      <rPr>
        <sz val="11"/>
        <color theme="4"/>
        <rFont val="Aptos Narrow"/>
        <family val="2"/>
        <scheme val="minor"/>
      </rPr>
      <t xml:space="preserve"> - We are profiling our applications to find bottlenecks. We analyze how much time is spent in the queue vs. running on the chip.</t>
    </r>
  </si>
  <si>
    <r>
      <rPr>
        <b/>
        <sz val="11"/>
        <color theme="4"/>
        <rFont val="Aptos Narrow"/>
        <family val="2"/>
        <scheme val="minor"/>
      </rPr>
      <t>2. Evaluating / Planning</t>
    </r>
    <r>
      <rPr>
        <sz val="11"/>
        <color theme="4"/>
        <rFont val="Aptos Narrow"/>
        <family val="2"/>
        <scheme val="minor"/>
      </rPr>
      <t xml:space="preserve"> - We are mapping the APIs required to connect quantum backends to our core business platforms (e.g., cloud data lakes, ERP). We know where the "plumbing" needs to go.</t>
    </r>
  </si>
  <si>
    <r>
      <rPr>
        <b/>
        <sz val="11"/>
        <color theme="4"/>
        <rFont val="Aptos Narrow"/>
        <family val="2"/>
        <scheme val="minor"/>
      </rPr>
      <t>2. Evaluating / Planning</t>
    </r>
    <r>
      <rPr>
        <sz val="11"/>
        <color theme="4"/>
        <rFont val="Aptos Narrow"/>
        <family val="2"/>
        <scheme val="minor"/>
      </rPr>
      <t xml:space="preserve"> - We are researching "Quantum Machine Learning" (QML) theory. We are identifying which parts of our classical AI stack (e.g., feature mapping) could benefit from a quantum kernel.</t>
    </r>
  </si>
  <si>
    <r>
      <rPr>
        <b/>
        <sz val="11"/>
        <color theme="4"/>
        <rFont val="Aptos Narrow"/>
        <family val="2"/>
        <scheme val="minor"/>
      </rPr>
      <t>2. Evaluating / Planning</t>
    </r>
    <r>
      <rPr>
        <sz val="11"/>
        <color theme="4"/>
        <rFont val="Aptos Narrow"/>
        <family val="2"/>
        <scheme val="minor"/>
      </rPr>
      <t xml:space="preserve"> - We are profiling our current HPC workloads. We are identifying the specific mathematical kernels (e.g., matrix inversion) that are slowing us down and mapping them to quantum possibilities.</t>
    </r>
  </si>
  <si>
    <r>
      <rPr>
        <b/>
        <sz val="11"/>
        <color theme="4"/>
        <rFont val="Aptos Narrow"/>
        <family val="2"/>
        <scheme val="minor"/>
      </rPr>
      <t>2. Evaluating / Planning</t>
    </r>
    <r>
      <rPr>
        <sz val="11"/>
        <color theme="4"/>
        <rFont val="Aptos Narrow"/>
        <family val="2"/>
        <scheme val="minor"/>
      </rPr>
      <t xml:space="preserve"> - We are cleaning our data for classical Machine Learning (ML). We are standardizing formats, but we aren't thinking about Quantum encoding requirements yet.</t>
    </r>
  </si>
  <si>
    <r>
      <rPr>
        <b/>
        <sz val="11"/>
        <color theme="4"/>
        <rFont val="Aptos Narrow"/>
        <family val="2"/>
        <scheme val="minor"/>
      </rPr>
      <t>2. Evaluating / Planning</t>
    </r>
    <r>
      <rPr>
        <sz val="11"/>
        <color theme="4"/>
        <rFont val="Aptos Narrow"/>
        <family val="2"/>
        <scheme val="minor"/>
      </rPr>
      <t xml:space="preserve"> - We are reviewing cloud providers. We are comparing pricing models (e.g., pay-per-shot vs. monthly subscription) and reading documentation, but have not provisioned access.</t>
    </r>
  </si>
  <si>
    <r>
      <rPr>
        <b/>
        <sz val="11"/>
        <color theme="4"/>
        <rFont val="Aptos Narrow"/>
        <family val="2"/>
        <scheme val="minor"/>
      </rPr>
      <t>2. Evaluating / Planning</t>
    </r>
    <r>
      <rPr>
        <sz val="11"/>
        <color theme="4"/>
        <rFont val="Aptos Narrow"/>
        <family val="2"/>
        <scheme val="minor"/>
      </rPr>
      <t xml:space="preserve"> - We are reviewing how our existing DevOps tools (e.g., Jenkins, GitLab) can support quantum libraries. We are defining what a "Quantum Unit Test" should look like.</t>
    </r>
  </si>
  <si>
    <r>
      <rPr>
        <b/>
        <sz val="11"/>
        <color theme="4"/>
        <rFont val="Aptos Narrow"/>
        <family val="2"/>
        <scheme val="minor"/>
      </rPr>
      <t>2. Evaluating / Planning</t>
    </r>
    <r>
      <rPr>
        <sz val="11"/>
        <color theme="4"/>
        <rFont val="Aptos Narrow"/>
        <family val="2"/>
        <scheme val="minor"/>
      </rPr>
      <t xml:space="preserve"> - We are reviewing the administrative features of cloud providers. We are drafting policies for who is allowed to run jobs on real hardware vs. simulators.</t>
    </r>
  </si>
  <si>
    <r>
      <rPr>
        <b/>
        <sz val="11"/>
        <color theme="4"/>
        <rFont val="Aptos Narrow"/>
        <family val="2"/>
        <scheme val="minor"/>
      </rPr>
      <t>2. Evaluating / Planning</t>
    </r>
    <r>
      <rPr>
        <sz val="11"/>
        <color theme="4"/>
        <rFont val="Aptos Narrow"/>
        <family val="2"/>
        <scheme val="minor"/>
      </rPr>
      <t xml:space="preserve"> - We read the public roadmaps (e.g., "IBM Quantum Development Roadmap"). We are aware of the milestones but do not explicitly link our internal project deadlines to them.</t>
    </r>
  </si>
  <si>
    <r>
      <rPr>
        <b/>
        <sz val="11"/>
        <color theme="4"/>
        <rFont val="Aptos Narrow"/>
        <family val="2"/>
        <scheme val="minor"/>
      </rPr>
      <t>2. Evaluating / Planning</t>
    </r>
    <r>
      <rPr>
        <sz val="11"/>
        <color theme="4"/>
        <rFont val="Aptos Narrow"/>
        <family val="2"/>
        <scheme val="minor"/>
      </rPr>
      <t xml:space="preserve"> - We are discussing how to merge the teams. We invite quantum researchers to general R&amp;D town halls, but they still have separate budgets and reporting lines.</t>
    </r>
  </si>
  <si>
    <r>
      <rPr>
        <b/>
        <sz val="11"/>
        <color theme="4"/>
        <rFont val="Aptos Narrow"/>
        <family val="2"/>
        <scheme val="minor"/>
      </rPr>
      <t>2. Evaluating / Planning</t>
    </r>
    <r>
      <rPr>
        <sz val="11"/>
        <color theme="4"/>
        <rFont val="Aptos Narrow"/>
        <family val="2"/>
        <scheme val="minor"/>
      </rPr>
      <t xml:space="preserve"> - Business leaders attend the occasional demo. They express interest ("Keep us posted"), but they do not contribute budget or resources.</t>
    </r>
  </si>
  <si>
    <r>
      <rPr>
        <b/>
        <sz val="11"/>
        <color theme="4"/>
        <rFont val="Aptos Narrow"/>
        <family val="2"/>
        <scheme val="minor"/>
      </rPr>
      <t>2. Evaluating / Planning</t>
    </r>
    <r>
      <rPr>
        <sz val="11"/>
        <color theme="4"/>
        <rFont val="Aptos Narrow"/>
        <family val="2"/>
        <scheme val="minor"/>
      </rPr>
      <t xml:space="preserve"> - We are discussing the need for a CoE. We are identifying which experts should belong to it, but currently, they sit in isolated silos (e.g., IT vs. R&amp;D).</t>
    </r>
  </si>
  <si>
    <r>
      <rPr>
        <b/>
        <sz val="11"/>
        <color theme="4"/>
        <rFont val="Aptos Narrow"/>
        <family val="2"/>
        <scheme val="minor"/>
      </rPr>
      <t xml:space="preserve">2. Evaluating / Planning </t>
    </r>
    <r>
      <rPr>
        <sz val="11"/>
        <color theme="4"/>
        <rFont val="Aptos Narrow"/>
        <family val="2"/>
        <scheme val="minor"/>
      </rPr>
      <t>- We have "Ad-Hoc" funding. We have to pitch for money for every single pilot. We spend more time writing grant proposals to the CFO than writing code.</t>
    </r>
  </si>
  <si>
    <r>
      <rPr>
        <b/>
        <sz val="11"/>
        <color theme="4"/>
        <rFont val="Aptos Narrow"/>
        <family val="2"/>
        <scheme val="minor"/>
      </rPr>
      <t>2. Evaluating / Planning</t>
    </r>
    <r>
      <rPr>
        <sz val="11"/>
        <color theme="4"/>
        <rFont val="Aptos Narrow"/>
        <family val="2"/>
        <scheme val="minor"/>
      </rPr>
      <t xml:space="preserve"> - We are writing job descriptions. We are debating whether to hire a senior physicist or a fresh PhD. We have not made an offer yet.</t>
    </r>
  </si>
  <si>
    <r>
      <rPr>
        <b/>
        <sz val="11"/>
        <color theme="4"/>
        <rFont val="Aptos Narrow"/>
        <family val="2"/>
        <scheme val="minor"/>
      </rPr>
      <t>2. Evaluating / Planning</t>
    </r>
    <r>
      <rPr>
        <sz val="11"/>
        <color theme="4"/>
        <rFont val="Aptos Narrow"/>
        <family val="2"/>
        <scheme val="minor"/>
      </rPr>
      <t xml:space="preserve"> - We are reviewing our IP policies. We want to allow some publishing, but Legal is currently blocking it due to fear of accidental disclosure.</t>
    </r>
  </si>
  <si>
    <r>
      <rPr>
        <b/>
        <sz val="11"/>
        <color theme="4"/>
        <rFont val="Aptos Narrow"/>
        <family val="2"/>
        <scheme val="minor"/>
      </rPr>
      <t>2. Evaluating / Planning</t>
    </r>
    <r>
      <rPr>
        <sz val="11"/>
        <color theme="4"/>
        <rFont val="Aptos Narrow"/>
        <family val="2"/>
        <scheme val="minor"/>
      </rPr>
      <t xml:space="preserve"> - We talk about Failing Fast, but our HR policies don't support it. Managers verbally encourage risk, but performance reviews still penalize missed targets regardless of the cause.</t>
    </r>
  </si>
  <si>
    <r>
      <rPr>
        <b/>
        <sz val="11"/>
        <color theme="4"/>
        <rFont val="Aptos Narrow"/>
        <family val="2"/>
        <scheme val="minor"/>
      </rPr>
      <t>2. Evaluating / Planning</t>
    </r>
    <r>
      <rPr>
        <sz val="11"/>
        <color theme="4"/>
        <rFont val="Aptos Narrow"/>
        <family val="2"/>
        <scheme val="minor"/>
      </rPr>
      <t xml:space="preserve"> - We discuss risk in the abstract. The Board nods when we say "Quantum is long-term," but when earnings are tight, the quantum budget is the first to be cut.</t>
    </r>
  </si>
  <si>
    <r>
      <rPr>
        <b/>
        <sz val="11"/>
        <color theme="4"/>
        <rFont val="Aptos Narrow"/>
        <family val="2"/>
        <scheme val="minor"/>
      </rPr>
      <t>2. Evaluating / Planning</t>
    </r>
    <r>
      <rPr>
        <sz val="11"/>
        <color theme="4"/>
        <rFont val="Aptos Narrow"/>
        <family val="2"/>
        <scheme val="minor"/>
      </rPr>
      <t xml:space="preserve"> - We do Ad-Hoc experimentation. If an engineer has a cool idea, they try to build it. There is no standard criteria for what is worth building. Success is random.</t>
    </r>
  </si>
  <si>
    <r>
      <rPr>
        <b/>
        <sz val="11"/>
        <color theme="4"/>
        <rFont val="Aptos Narrow"/>
        <family val="2"/>
        <scheme val="minor"/>
      </rPr>
      <t>2. Evaluating / Planning</t>
    </r>
    <r>
      <rPr>
        <sz val="11"/>
        <color theme="4"/>
        <rFont val="Aptos Narrow"/>
        <family val="2"/>
        <scheme val="minor"/>
      </rPr>
      <t xml:space="preserve"> - Quantum is listed in the Emerging Technology appendix of our strategy. It is flagged as something to watch, but no specific scenarios or financial impacts are modeled.</t>
    </r>
  </si>
  <si>
    <r>
      <rPr>
        <b/>
        <sz val="11"/>
        <color theme="4"/>
        <rFont val="Aptos Narrow"/>
        <family val="2"/>
        <scheme val="minor"/>
      </rPr>
      <t>2. Evaluating / Planning</t>
    </r>
    <r>
      <rPr>
        <sz val="11"/>
        <color theme="4"/>
        <rFont val="Aptos Narrow"/>
        <family val="2"/>
        <scheme val="minor"/>
      </rPr>
      <t xml:space="preserve"> - We have "Qualitative" goals. We use vague terms like "disruption," "acceleration," or "future-proofing," but we have not put a dollar figure on the outcome.</t>
    </r>
  </si>
  <si>
    <r>
      <rPr>
        <b/>
        <sz val="11"/>
        <color theme="4"/>
        <rFont val="Aptos Narrow"/>
        <family val="2"/>
        <scheme val="minor"/>
      </rPr>
      <t xml:space="preserve">2. Evaluating / Planning </t>
    </r>
    <r>
      <rPr>
        <sz val="11"/>
        <color theme="4"/>
        <rFont val="Aptos Narrow"/>
        <family val="2"/>
        <scheme val="minor"/>
      </rPr>
      <t>- We are drafting a "Quantum QA" checklist. We are determining what the acceptance criteria should be (e.g., minimum fidelity scores, maximum latency), but have not enforced them yet.</t>
    </r>
  </si>
  <si>
    <r>
      <rPr>
        <b/>
        <sz val="11"/>
        <color theme="4"/>
        <rFont val="Aptos Narrow"/>
        <family val="2"/>
        <scheme val="minor"/>
      </rPr>
      <t>2. Evaluating / Planning</t>
    </r>
    <r>
      <rPr>
        <sz val="11"/>
        <color theme="4"/>
        <rFont val="Aptos Narrow"/>
        <family val="2"/>
        <scheme val="minor"/>
      </rPr>
      <t xml:space="preserve"> - We use Kanban boards (e.g., Trello) to track tasks, but we don't have time-boxed sprints. Deadlines are flexible and often slide by weeks.</t>
    </r>
  </si>
  <si>
    <r>
      <rPr>
        <b/>
        <sz val="11"/>
        <color theme="4"/>
        <rFont val="Aptos Narrow"/>
        <family val="2"/>
        <scheme val="minor"/>
      </rPr>
      <t>2. Evaluating / Planning</t>
    </r>
    <r>
      <rPr>
        <sz val="11"/>
        <color theme="4"/>
        <rFont val="Aptos Narrow"/>
        <family val="2"/>
        <scheme val="minor"/>
      </rPr>
      <t xml:space="preserve"> - We are evaluating Quantum-Inspired algorithms (running tensor networks on GPUs). We see the potential for intermediate value, but haven't deployed anything.</t>
    </r>
  </si>
  <si>
    <r>
      <rPr>
        <b/>
        <sz val="11"/>
        <color theme="4"/>
        <rFont val="Aptos Narrow"/>
        <family val="2"/>
        <scheme val="minor"/>
      </rPr>
      <t xml:space="preserve">2. Evaluating / Planning </t>
    </r>
    <r>
      <rPr>
        <sz val="11"/>
        <color theme="4"/>
        <rFont val="Aptos Narrow"/>
        <family val="2"/>
        <scheme val="minor"/>
      </rPr>
      <t>- We review our code when a vendor makes a Major Announcement (e.g., a new 1,000-qubit chip). We have no regular schedule for optimization; it happens only when we read a press release.</t>
    </r>
  </si>
  <si>
    <r>
      <rPr>
        <b/>
        <sz val="11"/>
        <color theme="4"/>
        <rFont val="Aptos Narrow"/>
        <family val="2"/>
        <scheme val="minor"/>
      </rPr>
      <t>2. Evaluating / Planning</t>
    </r>
    <r>
      <rPr>
        <sz val="11"/>
        <color theme="4"/>
        <rFont val="Aptos Narrow"/>
        <family val="2"/>
        <scheme val="minor"/>
      </rPr>
      <t xml:space="preserve"> - We are reviewing Quantum-Safe protocols. We are aware of the NIST PQC standards but have not implemented them in our development environment yet.</t>
    </r>
  </si>
  <si>
    <r>
      <rPr>
        <b/>
        <sz val="11"/>
        <color theme="4"/>
        <rFont val="Aptos Narrow"/>
        <family val="2"/>
        <scheme val="minor"/>
      </rPr>
      <t>3. Experimenting / In Progress</t>
    </r>
    <r>
      <rPr>
        <sz val="11"/>
        <color theme="4"/>
        <rFont val="Aptos Narrow"/>
        <family val="2"/>
        <scheme val="minor"/>
      </rPr>
      <t xml:space="preserve"> - We have a formal project underway to identify use cases. We are actively assessing specific pain points against quantum modalities.</t>
    </r>
  </si>
  <si>
    <r>
      <rPr>
        <b/>
        <sz val="11"/>
        <color theme="4"/>
        <rFont val="Aptos Narrow"/>
        <family val="2"/>
        <scheme val="minor"/>
      </rPr>
      <t>3. Experimenting / In Progress</t>
    </r>
    <r>
      <rPr>
        <sz val="11"/>
        <color theme="4"/>
        <rFont val="Aptos Narrow"/>
        <family val="2"/>
        <scheme val="minor"/>
      </rPr>
      <t xml:space="preserve"> - We are developing an internal model to map technical milestones (e.g., error correction rates) to our specific business timeline.</t>
    </r>
  </si>
  <si>
    <r>
      <rPr>
        <b/>
        <sz val="11"/>
        <color theme="4"/>
        <rFont val="Aptos Narrow"/>
        <family val="2"/>
        <scheme val="minor"/>
      </rPr>
      <t>3. Experimenting / In Progress</t>
    </r>
    <r>
      <rPr>
        <sz val="11"/>
        <color theme="4"/>
        <rFont val="Aptos Narrow"/>
        <family val="2"/>
        <scheme val="minor"/>
      </rPr>
      <t xml:space="preserve"> - We have assigned a team member or subscribed to a service to collect market data. We are beginning to filter specific signals relevant to our industry.</t>
    </r>
  </si>
  <si>
    <r>
      <rPr>
        <b/>
        <sz val="11"/>
        <color theme="4"/>
        <rFont val="Aptos Narrow"/>
        <family val="2"/>
        <scheme val="minor"/>
      </rPr>
      <t>3. Experimenting / In Progress</t>
    </r>
    <r>
      <rPr>
        <sz val="11"/>
        <color theme="4"/>
        <rFont val="Aptos Narrow"/>
        <family val="2"/>
        <scheme val="minor"/>
      </rPr>
      <t xml:space="preserve"> - We are actively meeting with startups and running limited trials. We are trying to validate their technical claims against our needs.</t>
    </r>
  </si>
  <si>
    <r>
      <rPr>
        <b/>
        <sz val="11"/>
        <color theme="4"/>
        <rFont val="Aptos Narrow"/>
        <family val="2"/>
        <scheme val="minor"/>
      </rPr>
      <t>3. Experimenting / In Progress</t>
    </r>
    <r>
      <rPr>
        <sz val="11"/>
        <color theme="4"/>
        <rFont val="Aptos Narrow"/>
        <family val="2"/>
        <scheme val="minor"/>
      </rPr>
      <t xml:space="preserve"> - We have a "scouting list." Corporate Development is aware of the quantum landscape and has identified potential targets or teams for "acqui-hire."</t>
    </r>
  </si>
  <si>
    <r>
      <rPr>
        <b/>
        <sz val="11"/>
        <color theme="4"/>
        <rFont val="Aptos Narrow"/>
        <family val="2"/>
        <scheme val="minor"/>
      </rPr>
      <t>3. Experimenting / In Progress</t>
    </r>
    <r>
      <rPr>
        <sz val="11"/>
        <color theme="4"/>
        <rFont val="Aptos Narrow"/>
        <family val="2"/>
        <scheme val="minor"/>
      </rPr>
      <t xml:space="preserve"> - We are actively testing problems. We are running "benchmarks" to see if a quantum solver (e.g., QAOA) performs differently than our classical heuristics.</t>
    </r>
  </si>
  <si>
    <r>
      <rPr>
        <b/>
        <sz val="11"/>
        <color theme="4"/>
        <rFont val="Aptos Narrow"/>
        <family val="2"/>
        <scheme val="minor"/>
      </rPr>
      <t>3. Experimenting / In Progress</t>
    </r>
    <r>
      <rPr>
        <sz val="11"/>
        <color theme="4"/>
        <rFont val="Aptos Narrow"/>
        <family val="2"/>
        <scheme val="minor"/>
      </rPr>
      <t xml:space="preserve"> - We have drafted preliminary timelines for specific pilots. We know when the PoC ends, but not necessarily when production value begins.</t>
    </r>
  </si>
  <si>
    <r>
      <rPr>
        <b/>
        <sz val="11"/>
        <color theme="4"/>
        <rFont val="Aptos Narrow"/>
        <family val="2"/>
        <scheme val="minor"/>
      </rPr>
      <t>3. Experimenting / In Progress</t>
    </r>
    <r>
      <rPr>
        <sz val="11"/>
        <color theme="4"/>
        <rFont val="Aptos Narrow"/>
        <family val="2"/>
        <scheme val="minor"/>
      </rPr>
      <t xml:space="preserve"> - We have established basic oversight for individual pilots. Project managers track progress, but there is no enterprise-wide standard for "success."</t>
    </r>
  </si>
  <si>
    <r>
      <rPr>
        <b/>
        <sz val="11"/>
        <color theme="4"/>
        <rFont val="Aptos Narrow"/>
        <family val="2"/>
        <scheme val="minor"/>
      </rPr>
      <t>3. Experimenting / In Progress</t>
    </r>
    <r>
      <rPr>
        <sz val="11"/>
        <color theme="4"/>
        <rFont val="Aptos Narrow"/>
        <family val="2"/>
        <scheme val="minor"/>
      </rPr>
      <t xml:space="preserve"> - We are deploying "Quantum-Inspired" solutions (e.g., tensor networks on GPUs) to solve problems today. We are cleaning data specifically for future quantum ingestion.</t>
    </r>
  </si>
  <si>
    <r>
      <rPr>
        <b/>
        <sz val="11"/>
        <color theme="4"/>
        <rFont val="Aptos Narrow"/>
        <family val="2"/>
        <scheme val="minor"/>
      </rPr>
      <t>3. Experimenting / In Progress</t>
    </r>
    <r>
      <rPr>
        <sz val="11"/>
        <color theme="4"/>
        <rFont val="Aptos Narrow"/>
        <family val="2"/>
        <scheme val="minor"/>
      </rPr>
      <t xml:space="preserve"> - We are running a single-track experiment (e.g., only Optimization). We are "all-in" on one domain and ignoring others.</t>
    </r>
  </si>
  <si>
    <r>
      <rPr>
        <b/>
        <sz val="11"/>
        <color theme="4"/>
        <rFont val="Aptos Narrow"/>
        <family val="2"/>
        <scheme val="minor"/>
      </rPr>
      <t>3. Experimenting / In Progress</t>
    </r>
    <r>
      <rPr>
        <sz val="11"/>
        <color theme="4"/>
        <rFont val="Aptos Narrow"/>
        <family val="2"/>
        <scheme val="minor"/>
      </rPr>
      <t xml:space="preserve"> - We have successfully negotiated "Foreground IP" ownership for specific pilots. We treat IP on a case-by-case basis.</t>
    </r>
  </si>
  <si>
    <r>
      <rPr>
        <b/>
        <sz val="11"/>
        <color theme="4"/>
        <rFont val="Aptos Narrow"/>
        <family val="2"/>
        <scheme val="minor"/>
      </rPr>
      <t>3. Experimenting / In Progress</t>
    </r>
    <r>
      <rPr>
        <sz val="11"/>
        <color theme="4"/>
        <rFont val="Aptos Narrow"/>
        <family val="2"/>
        <scheme val="minor"/>
      </rPr>
      <t xml:space="preserve"> - We make decisions on a case-by-case basis. We have an IP review committee, but the criteria for "Patent vs. Secret" are subjective and inconsistent.</t>
    </r>
  </si>
  <si>
    <r>
      <rPr>
        <b/>
        <sz val="11"/>
        <color theme="4"/>
        <rFont val="Aptos Narrow"/>
        <family val="2"/>
        <scheme val="minor"/>
      </rPr>
      <t>3. Experimenting / In Progress</t>
    </r>
    <r>
      <rPr>
        <sz val="11"/>
        <color theme="4"/>
        <rFont val="Aptos Narrow"/>
        <family val="2"/>
        <scheme val="minor"/>
      </rPr>
      <t xml:space="preserve"> - We have an "Invention Disclosure Form" (IDF) process. Reviews happen sporadically when enough forms accumulate. Assessment is mostly technical, lacking business context.</t>
    </r>
  </si>
  <si>
    <r>
      <rPr>
        <b/>
        <sz val="11"/>
        <color theme="4"/>
        <rFont val="Aptos Narrow"/>
        <family val="2"/>
        <scheme val="minor"/>
      </rPr>
      <t>3. Experimenting / In Progress</t>
    </r>
    <r>
      <rPr>
        <sz val="11"/>
        <color theme="4"/>
        <rFont val="Aptos Narrow"/>
        <family val="2"/>
        <scheme val="minor"/>
      </rPr>
      <t xml:space="preserve"> - We have filed 1-2 provisional patents based on initial pilots. Filings are sporadic and driven by individual researcher initiative rather than corporate strategy.</t>
    </r>
  </si>
  <si>
    <r>
      <rPr>
        <b/>
        <sz val="11"/>
        <color theme="4"/>
        <rFont val="Aptos Narrow"/>
        <family val="2"/>
        <scheme val="minor"/>
      </rPr>
      <t>3. Experimenting / In Progress</t>
    </r>
    <r>
      <rPr>
        <sz val="11"/>
        <color theme="4"/>
        <rFont val="Aptos Narrow"/>
        <family val="2"/>
        <scheme val="minor"/>
      </rPr>
      <t xml:space="preserve"> - We have drafted licensing terms for a specific pilot. We might be sharing a solution with a close supply chain partner, but the commercial terms are undefined.</t>
    </r>
  </si>
  <si>
    <r>
      <rPr>
        <b/>
        <sz val="11"/>
        <color theme="4"/>
        <rFont val="Aptos Narrow"/>
        <family val="2"/>
        <scheme val="minor"/>
      </rPr>
      <t>3. Experimenting / In Progress</t>
    </r>
    <r>
      <rPr>
        <sz val="11"/>
        <color theme="4"/>
        <rFont val="Aptos Narrow"/>
        <family val="2"/>
        <scheme val="minor"/>
      </rPr>
      <t xml:space="preserve"> - We have mentioned quantum simulation methods in preliminary discussions with a regulator for a specific pilot. We are testing their appetite for non-classical data.</t>
    </r>
  </si>
  <si>
    <r>
      <rPr>
        <b/>
        <sz val="11"/>
        <color theme="4"/>
        <rFont val="Aptos Narrow"/>
        <family val="2"/>
        <scheme val="minor"/>
      </rPr>
      <t>3. Experimenting / In Progress</t>
    </r>
    <r>
      <rPr>
        <sz val="11"/>
        <color theme="4"/>
        <rFont val="Aptos Narrow"/>
        <family val="2"/>
        <scheme val="minor"/>
      </rPr>
      <t xml:space="preserve"> - We are conducting a "Gap Analysis." We are testing if our current pilots can be ported to a standard format (e.g., OpenQASM) or if they break.</t>
    </r>
  </si>
  <si>
    <r>
      <rPr>
        <b/>
        <sz val="11"/>
        <color theme="4"/>
        <rFont val="Aptos Narrow"/>
        <family val="2"/>
        <scheme val="minor"/>
      </rPr>
      <t>3. Experimenting / In Progress</t>
    </r>
    <r>
      <rPr>
        <sz val="11"/>
        <color theme="4"/>
        <rFont val="Aptos Narrow"/>
        <family val="2"/>
        <scheme val="minor"/>
      </rPr>
      <t xml:space="preserve"> - We are a paying member of a consortium. We attend the annual conference and receive the newsletters. Our engagement is passive consumption of information.</t>
    </r>
  </si>
  <si>
    <r>
      <rPr>
        <b/>
        <sz val="11"/>
        <color theme="4"/>
        <rFont val="Aptos Narrow"/>
        <family val="2"/>
        <scheme val="minor"/>
      </rPr>
      <t>3. Experimenting / In Progress</t>
    </r>
    <r>
      <rPr>
        <sz val="11"/>
        <color theme="4"/>
        <rFont val="Aptos Narrow"/>
        <family val="2"/>
        <scheme val="minor"/>
      </rPr>
      <t xml:space="preserve"> - We have containerized specific pilots. We are testing if we can package a quantum circuit and its classical pre-processing into a single deployable unit.</t>
    </r>
  </si>
  <si>
    <r>
      <rPr>
        <b/>
        <sz val="11"/>
        <color theme="4"/>
        <rFont val="Aptos Narrow"/>
        <family val="2"/>
        <scheme val="minor"/>
      </rPr>
      <t>3. Experimenting / In Progress</t>
    </r>
    <r>
      <rPr>
        <sz val="11"/>
        <color theme="4"/>
        <rFont val="Aptos Narrow"/>
        <family val="2"/>
        <scheme val="minor"/>
      </rPr>
      <t xml:space="preserve"> - We have scripted a basic loop. A Python script sends a job to the cloud QPU, waits for the result, and processes it. Latency is high due to queue times and network lag.</t>
    </r>
  </si>
  <si>
    <r>
      <rPr>
        <b/>
        <sz val="11"/>
        <color theme="4"/>
        <rFont val="Aptos Narrow"/>
        <family val="2"/>
        <scheme val="minor"/>
      </rPr>
      <t>3. Experimenting / In Progress</t>
    </r>
    <r>
      <rPr>
        <sz val="11"/>
        <color theme="4"/>
        <rFont val="Aptos Narrow"/>
        <family val="2"/>
        <scheme val="minor"/>
      </rPr>
      <t xml:space="preserve"> - We use basic transpilation tools (e.g., Qiskit levels 1-3) to map circuits to the hardware topology. We are manually trying to reduce gate counts.</t>
    </r>
  </si>
  <si>
    <r>
      <rPr>
        <b/>
        <sz val="11"/>
        <color theme="4"/>
        <rFont val="Aptos Narrow"/>
        <family val="2"/>
        <scheme val="minor"/>
      </rPr>
      <t>3. Experimenting / In Progress</t>
    </r>
    <r>
      <rPr>
        <sz val="11"/>
        <color theme="4"/>
        <rFont val="Aptos Narrow"/>
        <family val="2"/>
        <scheme val="minor"/>
      </rPr>
      <t xml:space="preserve"> - We have built custom scripts to bridge the gap. We export quantum results to a CSV or JSON file and manually load them into a visualization tool for the business to see.</t>
    </r>
  </si>
  <si>
    <r>
      <rPr>
        <b/>
        <sz val="11"/>
        <color theme="4"/>
        <rFont val="Aptos Narrow"/>
        <family val="2"/>
        <scheme val="minor"/>
      </rPr>
      <t>3. Experimenting / In Progress</t>
    </r>
    <r>
      <rPr>
        <sz val="11"/>
        <color theme="4"/>
        <rFont val="Aptos Narrow"/>
        <family val="2"/>
        <scheme val="minor"/>
      </rPr>
      <t xml:space="preserve"> - We are training small hybrid models. We use classical neural networks for the bulk of the work and a small quantum circuit for specific tasks (like classification of complex correlations).</t>
    </r>
  </si>
  <si>
    <r>
      <rPr>
        <b/>
        <sz val="11"/>
        <color theme="4"/>
        <rFont val="Aptos Narrow"/>
        <family val="2"/>
        <scheme val="minor"/>
      </rPr>
      <t>3. Experimenting / In Progress</t>
    </r>
    <r>
      <rPr>
        <sz val="11"/>
        <color theme="4"/>
        <rFont val="Aptos Narrow"/>
        <family val="2"/>
        <scheme val="minor"/>
      </rPr>
      <t xml:space="preserve"> - We are running "Toy Models." We have replaced a small section of a classical simulation with a quantum circuit. It is currently slower and less accurate, but it proves the connection works.</t>
    </r>
  </si>
  <si>
    <r>
      <rPr>
        <b/>
        <sz val="11"/>
        <color theme="4"/>
        <rFont val="Aptos Narrow"/>
        <family val="2"/>
        <scheme val="minor"/>
      </rPr>
      <t>3. Experimenting / In Progress</t>
    </r>
    <r>
      <rPr>
        <sz val="11"/>
        <color theme="4"/>
        <rFont val="Aptos Narrow"/>
        <family val="2"/>
        <scheme val="minor"/>
      </rPr>
      <t xml:space="preserve"> - We are testing "Feature Maps." We are taking small datasets and experimenting with how to encode them into qubits (e.g., Angle Encoding vs. Amplitude Encoding).</t>
    </r>
  </si>
  <si>
    <r>
      <rPr>
        <b/>
        <sz val="11"/>
        <color theme="4"/>
        <rFont val="Aptos Narrow"/>
        <family val="2"/>
        <scheme val="minor"/>
      </rPr>
      <t>3. Experimenting / In Progress</t>
    </r>
    <r>
      <rPr>
        <sz val="11"/>
        <color theme="4"/>
        <rFont val="Aptos Narrow"/>
        <family val="2"/>
        <scheme val="minor"/>
      </rPr>
      <t xml:space="preserve"> - We have active accounts on one platform (e.g., IBM or AWS). We are running pilots using "Free Tier" or ad-hoc credits. Access is manual and dependent on individual developers.</t>
    </r>
  </si>
  <si>
    <r>
      <rPr>
        <b/>
        <sz val="11"/>
        <color theme="4"/>
        <rFont val="Aptos Narrow"/>
        <family val="2"/>
        <scheme val="minor"/>
      </rPr>
      <t>3. Experimenting / In Progress</t>
    </r>
    <r>
      <rPr>
        <sz val="11"/>
        <color theme="4"/>
        <rFont val="Aptos Narrow"/>
        <family val="2"/>
        <scheme val="minor"/>
      </rPr>
      <t xml:space="preserve"> - We have a basic CI pipeline. It runs automated tests on classical simulators whenever code is committed. It does not yet test against real hardware.</t>
    </r>
  </si>
  <si>
    <r>
      <rPr>
        <b/>
        <sz val="11"/>
        <color theme="4"/>
        <rFont val="Aptos Narrow"/>
        <family val="2"/>
        <scheme val="minor"/>
      </rPr>
      <t xml:space="preserve">3. Experimenting / In Progress </t>
    </r>
    <r>
      <rPr>
        <sz val="11"/>
        <color theme="4"/>
        <rFont val="Aptos Narrow"/>
        <family val="2"/>
        <scheme val="minor"/>
      </rPr>
      <t>- We have a single administrator who manually manages access keys and tracks usage via spreadsheets. Reporting is retroactive (at the end of the month).</t>
    </r>
  </si>
  <si>
    <r>
      <rPr>
        <b/>
        <sz val="11"/>
        <color theme="4"/>
        <rFont val="Aptos Narrow"/>
        <family val="2"/>
        <scheme val="minor"/>
      </rPr>
      <t>3. Experimenting / In Progress</t>
    </r>
    <r>
      <rPr>
        <sz val="11"/>
        <color theme="4"/>
        <rFont val="Aptos Narrow"/>
        <family val="2"/>
        <scheme val="minor"/>
      </rPr>
      <t xml:space="preserve"> - We have loose alignment. We try to target our pilots to current hardware capabilities. We adjust our expectations when vendors announce delays.</t>
    </r>
  </si>
  <si>
    <r>
      <rPr>
        <b/>
        <sz val="11"/>
        <color theme="4"/>
        <rFont val="Aptos Narrow"/>
        <family val="2"/>
        <scheme val="minor"/>
      </rPr>
      <t xml:space="preserve">3. Experimenting / In Progress </t>
    </r>
    <r>
      <rPr>
        <sz val="11"/>
        <color theme="4"/>
        <rFont val="Aptos Narrow"/>
        <family val="2"/>
        <scheme val="minor"/>
      </rPr>
      <t>- We have "Liaison Officers." A few R&amp;D engineers are assigned to rotate through the quantum team to learn the capability. Information flows, but structural silos remain.</t>
    </r>
  </si>
  <si>
    <r>
      <rPr>
        <b/>
        <sz val="11"/>
        <color theme="4"/>
        <rFont val="Aptos Narrow"/>
        <family val="2"/>
        <scheme val="minor"/>
      </rPr>
      <t>3. Experimenting / In Progress</t>
    </r>
    <r>
      <rPr>
        <sz val="11"/>
        <color theme="4"/>
        <rFont val="Aptos Narrow"/>
        <family val="2"/>
        <scheme val="minor"/>
      </rPr>
      <t xml:space="preserve"> - We have a "Business Sponsor" for our pilots. They lend their name to the project to help secure funding, but they do not have specific deliverables.</t>
    </r>
  </si>
  <si>
    <r>
      <rPr>
        <b/>
        <sz val="11"/>
        <color theme="4"/>
        <rFont val="Aptos Narrow"/>
        <family val="2"/>
        <scheme val="minor"/>
      </rPr>
      <t>3. Experimenting / In Progress</t>
    </r>
    <r>
      <rPr>
        <sz val="11"/>
        <color theme="4"/>
        <rFont val="Aptos Narrow"/>
        <family val="2"/>
        <scheme val="minor"/>
      </rPr>
      <t xml:space="preserve"> - We have a "Virtual CoE" or Community of Interest. It’s a Slack channel or a monthly lunch-and-learn where enthusiasts share tips. It has no budget or authority.</t>
    </r>
  </si>
  <si>
    <r>
      <rPr>
        <b/>
        <sz val="11"/>
        <color theme="4"/>
        <rFont val="Aptos Narrow"/>
        <family val="2"/>
        <scheme val="minor"/>
      </rPr>
      <t>3. Experimenting / In Progress</t>
    </r>
    <r>
      <rPr>
        <sz val="11"/>
        <color theme="4"/>
        <rFont val="Aptos Narrow"/>
        <family val="2"/>
        <scheme val="minor"/>
      </rPr>
      <t xml:space="preserve"> - We have Project-Based funding. We got $500k for this specific pilot. If it fails, the money stops. We are terrified of taking risks because we need a win to survive.</t>
    </r>
  </si>
  <si>
    <r>
      <rPr>
        <b/>
        <sz val="11"/>
        <color theme="4"/>
        <rFont val="Aptos Narrow"/>
        <family val="2"/>
        <scheme val="minor"/>
      </rPr>
      <t>3. Experimenting / In Progress</t>
    </r>
    <r>
      <rPr>
        <sz val="11"/>
        <color theme="4"/>
        <rFont val="Aptos Narrow"/>
        <family val="2"/>
        <scheme val="minor"/>
      </rPr>
      <t xml:space="preserve"> - We have hired 1-2 Physicists. They are brilliant but isolated. They struggle to integrate their code into our corporate IT stack because they lack software engineering skills.</t>
    </r>
  </si>
  <si>
    <r>
      <rPr>
        <b/>
        <sz val="11"/>
        <color theme="4"/>
        <rFont val="Aptos Narrow"/>
        <family val="2"/>
        <scheme val="minor"/>
      </rPr>
      <t>3. Experimenting / In Progress</t>
    </r>
    <r>
      <rPr>
        <sz val="11"/>
        <color theme="4"/>
        <rFont val="Aptos Narrow"/>
        <family val="2"/>
        <scheme val="minor"/>
      </rPr>
      <t xml:space="preserve"> - We allow Passive participation. Staff can attend conferences and fix minor bugs in public libraries, but they cannot release significant code or act as maintainers.</t>
    </r>
  </si>
  <si>
    <r>
      <rPr>
        <b/>
        <sz val="11"/>
        <color theme="4"/>
        <rFont val="Aptos Narrow"/>
        <family val="2"/>
        <scheme val="minor"/>
      </rPr>
      <t>3. Experimenting / In Progress</t>
    </r>
    <r>
      <rPr>
        <sz val="11"/>
        <color theme="4"/>
        <rFont val="Aptos Narrow"/>
        <family val="2"/>
        <scheme val="minor"/>
      </rPr>
      <t xml:space="preserve"> - We allow failure in The Lab. The R&amp;D team has a safe space to fail, but they must sanitize their reports before presenting to the Board to look successful.</t>
    </r>
  </si>
  <si>
    <r>
      <rPr>
        <b/>
        <sz val="11"/>
        <color theme="4"/>
        <rFont val="Aptos Narrow"/>
        <family val="2"/>
        <scheme val="minor"/>
      </rPr>
      <t>3. Experimenting / In Progress</t>
    </r>
    <r>
      <rPr>
        <sz val="11"/>
        <color theme="4"/>
        <rFont val="Aptos Narrow"/>
        <family val="2"/>
        <scheme val="minor"/>
      </rPr>
      <t xml:space="preserve"> - We have Hedged bets. We invest small amounts across many technologies. We accept some failure, but we constantly demand intermediate milestones that may not be scientifically valid just to prove progress.</t>
    </r>
  </si>
  <si>
    <r>
      <rPr>
        <b/>
        <sz val="11"/>
        <color theme="4"/>
        <rFont val="Aptos Narrow"/>
        <family val="2"/>
        <scheme val="minor"/>
      </rPr>
      <t>3. Experimenting / In Progress</t>
    </r>
    <r>
      <rPr>
        <sz val="11"/>
        <color theme="4"/>
        <rFont val="Aptos Narrow"/>
        <family val="2"/>
        <scheme val="minor"/>
      </rPr>
      <t xml:space="preserve"> - We are stuck in PoC Purgatory. We can successfully build a Proof of Concept (PoC), but we have no mechanism to graduate it to production. We have a graveyard of successful pilots that never scaled.</t>
    </r>
  </si>
  <si>
    <r>
      <rPr>
        <b/>
        <sz val="11"/>
        <color theme="4"/>
        <rFont val="Aptos Narrow"/>
        <family val="2"/>
        <scheme val="minor"/>
      </rPr>
      <t>3. Experimenting / In Progress</t>
    </r>
    <r>
      <rPr>
        <sz val="11"/>
        <color theme="4"/>
        <rFont val="Aptos Narrow"/>
        <family val="2"/>
        <scheme val="minor"/>
      </rPr>
      <t xml:space="preserve"> - We have a specific "Quantum Roadmap" within the IT/R&amp;D division, but it is disconnected from the broader corporate strategy. The CEO's master plan does not rely on quantum success.</t>
    </r>
  </si>
  <si>
    <r>
      <rPr>
        <b/>
        <sz val="11"/>
        <color theme="4"/>
        <rFont val="Aptos Narrow"/>
        <family val="2"/>
        <scheme val="minor"/>
      </rPr>
      <t>3. Experimenting / In Progress</t>
    </r>
    <r>
      <rPr>
        <sz val="11"/>
        <color theme="4"/>
        <rFont val="Aptos Narrow"/>
        <family val="2"/>
        <scheme val="minor"/>
      </rPr>
      <t xml:space="preserve"> - We calculate value after the fact. We finish a pilot and then try to back-calculate what it might be worth if scaled. We are rationalizing the spend rather than justifying the investment.</t>
    </r>
  </si>
  <si>
    <r>
      <rPr>
        <b/>
        <sz val="11"/>
        <color theme="4"/>
        <rFont val="Aptos Narrow"/>
        <family val="2"/>
        <scheme val="minor"/>
      </rPr>
      <t>3. Experimenting / In Progress</t>
    </r>
    <r>
      <rPr>
        <sz val="11"/>
        <color theme="4"/>
        <rFont val="Aptos Narrow"/>
        <family val="2"/>
        <scheme val="minor"/>
      </rPr>
      <t xml:space="preserve"> - We certify based on "Simulator Success." If the code runs correctly on a perfect classical simulator, we approve it. We do not rigorously validate against the noise profiles of real hardware.</t>
    </r>
  </si>
  <si>
    <r>
      <rPr>
        <b/>
        <sz val="11"/>
        <color theme="4"/>
        <rFont val="Aptos Narrow"/>
        <family val="2"/>
        <scheme val="minor"/>
      </rPr>
      <t>3. Experimenting / In Progress</t>
    </r>
    <r>
      <rPr>
        <sz val="11"/>
        <color theme="4"/>
        <rFont val="Aptos Narrow"/>
        <family val="2"/>
        <scheme val="minor"/>
      </rPr>
      <t xml:space="preserve"> - We deploy "Hybrid Proofs." We run small parts of a problem on a quantum backend to show it works, but for production, we revert to the classical solver because it's still cheaper/faster.</t>
    </r>
  </si>
  <si>
    <r>
      <rPr>
        <b/>
        <sz val="11"/>
        <color theme="4"/>
        <rFont val="Aptos Narrow"/>
        <family val="2"/>
        <scheme val="minor"/>
      </rPr>
      <t>3. Experimenting / In Progress</t>
    </r>
    <r>
      <rPr>
        <sz val="11"/>
        <color theme="4"/>
        <rFont val="Aptos Narrow"/>
        <family val="2"/>
        <scheme val="minor"/>
      </rPr>
      <t xml:space="preserve"> - We perform Manual Refactoring. Every quarter, our physicists manually review the codebase to see if they can optimize the circuits for the current noise environment. It is effective but labor-intensive.</t>
    </r>
  </si>
  <si>
    <r>
      <rPr>
        <b/>
        <sz val="11"/>
        <color theme="4"/>
        <rFont val="Aptos Narrow"/>
        <family val="2"/>
        <scheme val="minor"/>
      </rPr>
      <t>3. Experimenting / In Progress</t>
    </r>
    <r>
      <rPr>
        <sz val="11"/>
        <color theme="4"/>
        <rFont val="Aptos Narrow"/>
        <family val="2"/>
        <scheme val="minor"/>
      </rPr>
      <t xml:space="preserve"> -  We apply "Basic Hygiene." We use standard TLS for data transmission and rotate API keys. However, our quantum code itself is not scanned for vulnerabilities or logic flaws.</t>
    </r>
  </si>
  <si>
    <r>
      <rPr>
        <b/>
        <sz val="11"/>
        <color theme="4"/>
        <rFont val="Aptos Narrow"/>
        <family val="2"/>
        <scheme val="minor"/>
      </rPr>
      <t>4. Mostly Complete</t>
    </r>
    <r>
      <rPr>
        <sz val="11"/>
        <color theme="4"/>
        <rFont val="Aptos Narrow"/>
        <family val="2"/>
        <scheme val="minor"/>
      </rPr>
      <t xml:space="preserve"> - We have a comprehensive map of opportunities defined. We have identified high-priority use cases, though final validation or enterprise-wide coverage is pending.</t>
    </r>
  </si>
  <si>
    <r>
      <rPr>
        <b/>
        <sz val="11"/>
        <color theme="4"/>
        <rFont val="Aptos Narrow"/>
        <family val="2"/>
        <scheme val="minor"/>
      </rPr>
      <t>4. Mostly Complete</t>
    </r>
    <r>
      <rPr>
        <sz val="11"/>
        <color theme="4"/>
        <rFont val="Aptos Narrow"/>
        <family val="2"/>
        <scheme val="minor"/>
      </rPr>
      <t xml:space="preserve"> - We have a solid forecast for our key sectors. The model exists and informs strategy, but it may lack real-time updates or full executive buy-in</t>
    </r>
  </si>
  <si>
    <r>
      <rPr>
        <b/>
        <sz val="11"/>
        <color theme="4"/>
        <rFont val="Aptos Narrow"/>
        <family val="2"/>
        <scheme val="minor"/>
      </rPr>
      <t xml:space="preserve">4. Mostly Complete </t>
    </r>
    <r>
      <rPr>
        <sz val="11"/>
        <color theme="4"/>
        <rFont val="Aptos Narrow"/>
        <family val="2"/>
        <scheme val="minor"/>
      </rPr>
      <t>- We have a structured monitoring process. We track key indices (investment, hardware specs, patents) and distribute regular updates to stakeholders.</t>
    </r>
  </si>
  <si>
    <r>
      <rPr>
        <b/>
        <sz val="11"/>
        <color theme="4"/>
        <rFont val="Aptos Narrow"/>
        <family val="2"/>
        <scheme val="minor"/>
      </rPr>
      <t>4. Mostly Complete</t>
    </r>
    <r>
      <rPr>
        <sz val="11"/>
        <color theme="4"/>
        <rFont val="Aptos Narrow"/>
        <family val="2"/>
        <scheme val="minor"/>
      </rPr>
      <t xml:space="preserve"> - We have a qualified vendor matrix. We know exactly which startups map to our specific problem classes (e.g., QuEra for simulation, Classiq for software).</t>
    </r>
  </si>
  <si>
    <r>
      <rPr>
        <b/>
        <sz val="11"/>
        <color theme="4"/>
        <rFont val="Aptos Narrow"/>
        <family val="2"/>
        <scheme val="minor"/>
      </rPr>
      <t>4. Mostly Complete</t>
    </r>
    <r>
      <rPr>
        <sz val="11"/>
        <color theme="4"/>
        <rFont val="Aptos Narrow"/>
        <family val="2"/>
        <scheme val="minor"/>
      </rPr>
      <t xml:space="preserve"> - We have a vetted pipeline. We have engaged with specific targets. We have models valuing their IP and talent against our strategic roadmap.</t>
    </r>
  </si>
  <si>
    <r>
      <rPr>
        <b/>
        <sz val="11"/>
        <color theme="4"/>
        <rFont val="Aptos Narrow"/>
        <family val="2"/>
        <scheme val="minor"/>
      </rPr>
      <t>4. Mostly Complete</t>
    </r>
    <r>
      <rPr>
        <sz val="11"/>
        <color theme="4"/>
        <rFont val="Aptos Narrow"/>
        <family val="2"/>
        <scheme val="minor"/>
      </rPr>
      <t xml:space="preserve"> - We have identified specific "intractable" problems  where classical methods fail. We have a shortlist of use cases where quantum shows a theoretical path to advantage.</t>
    </r>
  </si>
  <si>
    <r>
      <rPr>
        <b/>
        <sz val="11"/>
        <color theme="4"/>
        <rFont val="Aptos Narrow"/>
        <family val="2"/>
        <scheme val="minor"/>
      </rPr>
      <t>4. Mostly Complete</t>
    </r>
    <r>
      <rPr>
        <sz val="11"/>
        <color theme="4"/>
        <rFont val="Aptos Narrow"/>
        <family val="2"/>
        <scheme val="minor"/>
      </rPr>
      <t xml:space="preserve"> - We have a detailed roadmap linking technical milestones (e.g., "100 logical qubits") to specific business value triggers (e.g., "Optimize logistics fleet by 5%").</t>
    </r>
  </si>
  <si>
    <r>
      <rPr>
        <b/>
        <sz val="11"/>
        <color theme="4"/>
        <rFont val="Aptos Narrow"/>
        <family val="2"/>
        <scheme val="minor"/>
      </rPr>
      <t>4. Mostly Complete</t>
    </r>
    <r>
      <rPr>
        <sz val="11"/>
        <color theme="4"/>
        <rFont val="Aptos Narrow"/>
        <family val="2"/>
        <scheme val="minor"/>
      </rPr>
      <t xml:space="preserve"> - We have a defined governance handbook. We have clear stages (Ideation -&gt; PoC -&gt; Pilot) and criteria for moving between them.</t>
    </r>
  </si>
  <si>
    <r>
      <rPr>
        <b/>
        <sz val="11"/>
        <color theme="4"/>
        <rFont val="Aptos Narrow"/>
        <family val="2"/>
        <scheme val="minor"/>
      </rPr>
      <t>4. Mostly Complete</t>
    </r>
    <r>
      <rPr>
        <sz val="11"/>
        <color theme="4"/>
        <rFont val="Aptos Narrow"/>
        <family val="2"/>
        <scheme val="minor"/>
      </rPr>
      <t xml:space="preserve"> - We have broad deployment of no-regret assets. Our workforce is upskilled in quantum concepts (linear algebra), and our data pipelines are modernized.</t>
    </r>
  </si>
  <si>
    <r>
      <rPr>
        <b/>
        <sz val="11"/>
        <color theme="4"/>
        <rFont val="Aptos Narrow"/>
        <family val="2"/>
        <scheme val="minor"/>
      </rPr>
      <t>4. Mostly Complete</t>
    </r>
    <r>
      <rPr>
        <sz val="11"/>
        <color theme="4"/>
        <rFont val="Aptos Narrow"/>
        <family val="2"/>
        <scheme val="minor"/>
      </rPr>
      <t xml:space="preserve"> - We have a diversified portfolio. We are testing across at least two domains (e.g., Simulation + Optimization) as recommended by QRO data.</t>
    </r>
  </si>
  <si>
    <r>
      <rPr>
        <b/>
        <sz val="11"/>
        <color theme="4"/>
        <rFont val="Aptos Narrow"/>
        <family val="2"/>
        <scheme val="minor"/>
      </rPr>
      <t>4. Mostly Complete</t>
    </r>
    <r>
      <rPr>
        <sz val="11"/>
        <color theme="4"/>
        <rFont val="Aptos Narrow"/>
        <family val="2"/>
        <scheme val="minor"/>
      </rPr>
      <t xml:space="preserve"> - We have a standardized Quantum IP Addendum for all vendors. It explicitly defines "Background IP" (theirs) vs. "Foreground IP" (ours).</t>
    </r>
  </si>
  <si>
    <r>
      <rPr>
        <b/>
        <sz val="11"/>
        <color theme="4"/>
        <rFont val="Aptos Narrow"/>
        <family val="2"/>
        <scheme val="minor"/>
      </rPr>
      <t>4. Mostly Complete</t>
    </r>
    <r>
      <rPr>
        <sz val="11"/>
        <color theme="4"/>
        <rFont val="Aptos Narrow"/>
        <family val="2"/>
        <scheme val="minor"/>
      </rPr>
      <t xml:space="preserve"> - We have a formal decision tree. It weighs factors like "detectability" (can we prove infringement?) and "reverse engineering risk" to guide the protection strategy.</t>
    </r>
  </si>
  <si>
    <r>
      <rPr>
        <b/>
        <sz val="11"/>
        <color theme="4"/>
        <rFont val="Aptos Narrow"/>
        <family val="2"/>
        <scheme val="minor"/>
      </rPr>
      <t>4. Mostly Complete</t>
    </r>
    <r>
      <rPr>
        <sz val="11"/>
        <color theme="4"/>
        <rFont val="Aptos Narrow"/>
        <family val="2"/>
        <scheme val="minor"/>
      </rPr>
      <t xml:space="preserve"> - We have a formal Invention Review Board (IRB) that meets quarterly. It includes legal and technical experts. We evaluate disclosures against prior art and business relevance.</t>
    </r>
  </si>
  <si>
    <r>
      <rPr>
        <b/>
        <sz val="11"/>
        <color theme="4"/>
        <rFont val="Aptos Narrow"/>
        <family val="2"/>
        <scheme val="minor"/>
      </rPr>
      <t>4. Mostly Complete</t>
    </r>
    <r>
      <rPr>
        <sz val="11"/>
        <color theme="4"/>
        <rFont val="Aptos Narrow"/>
        <family val="2"/>
        <scheme val="minor"/>
      </rPr>
      <t xml:space="preserve"> - We have a targeted filing roadmap. We are systematically filing on specific "choke points" in our workflow (e.g., the data encoding layer). We have a growing portfolio.</t>
    </r>
  </si>
  <si>
    <r>
      <rPr>
        <b/>
        <sz val="11"/>
        <color theme="4"/>
        <rFont val="Aptos Narrow"/>
        <family val="2"/>
        <scheme val="minor"/>
      </rPr>
      <t>4. Mostly Complete</t>
    </r>
    <r>
      <rPr>
        <sz val="11"/>
        <color theme="4"/>
        <rFont val="Aptos Narrow"/>
        <family val="2"/>
        <scheme val="minor"/>
      </rPr>
      <t xml:space="preserve"> - We have a formal licensing framework. We have standard terms for "Out-Licensing" our technology. We have identified potential licensees (suppliers, non-competing industries).</t>
    </r>
  </si>
  <si>
    <r>
      <rPr>
        <b/>
        <sz val="11"/>
        <color theme="4"/>
        <rFont val="Aptos Narrow"/>
        <family val="2"/>
        <scheme val="minor"/>
      </rPr>
      <t>4. Mostly Complete</t>
    </r>
    <r>
      <rPr>
        <sz val="11"/>
        <color theme="4"/>
        <rFont val="Aptos Narrow"/>
        <family val="2"/>
        <scheme val="minor"/>
      </rPr>
      <t xml:space="preserve"> - We have a formal working group engaging agencies. We are drafting white papers on how to validate quantum-designed materials to satisfy safety standards (e.g., ISO 26262).</t>
    </r>
  </si>
  <si>
    <r>
      <rPr>
        <b/>
        <sz val="11"/>
        <color theme="4"/>
        <rFont val="Aptos Narrow"/>
        <family val="2"/>
        <scheme val="minor"/>
      </rPr>
      <t>4. Mostly Complete</t>
    </r>
    <r>
      <rPr>
        <sz val="11"/>
        <color theme="4"/>
        <rFont val="Aptos Narrow"/>
        <family val="2"/>
        <scheme val="minor"/>
      </rPr>
      <t xml:space="preserve"> - We require standards compliance in our procurement. We will not sign a vendor contract unless they support open standards (e.g., QED-C benchmarks). We have started PQC migration.</t>
    </r>
  </si>
  <si>
    <r>
      <rPr>
        <b/>
        <sz val="11"/>
        <color theme="4"/>
        <rFont val="Aptos Narrow"/>
        <family val="2"/>
        <scheme val="minor"/>
      </rPr>
      <t>4. Mostly Complete</t>
    </r>
    <r>
      <rPr>
        <sz val="11"/>
        <color theme="4"/>
        <rFont val="Aptos Narrow"/>
        <family val="2"/>
        <scheme val="minor"/>
      </rPr>
      <t xml:space="preserve"> - We actively participate in Working Groups (e.g., "Use Case Definition" or "Workforce Development"). We contribute data and help draft industry white papers.</t>
    </r>
  </si>
  <si>
    <r>
      <rPr>
        <b/>
        <sz val="11"/>
        <color theme="4"/>
        <rFont val="Aptos Narrow"/>
        <family val="2"/>
        <scheme val="minor"/>
      </rPr>
      <t>4. Mostly Complete</t>
    </r>
    <r>
      <rPr>
        <sz val="11"/>
        <color theme="4"/>
        <rFont val="Aptos Narrow"/>
        <family val="2"/>
        <scheme val="minor"/>
      </rPr>
      <t xml:space="preserve"> - Standard operating procedure is to containerize all quantum code. We can deploy workloads to the cloud reliably. However, switching vendors still requires manual tweaks to the container.</t>
    </r>
  </si>
  <si>
    <r>
      <rPr>
        <b/>
        <sz val="11"/>
        <color theme="4"/>
        <rFont val="Aptos Narrow"/>
        <family val="2"/>
        <scheme val="minor"/>
      </rPr>
      <t>4. Mostly Complete</t>
    </r>
    <r>
      <rPr>
        <sz val="11"/>
        <color theme="4"/>
        <rFont val="Aptos Narrow"/>
        <family val="2"/>
        <scheme val="minor"/>
      </rPr>
      <t xml:space="preserve"> - We use a runtime environment where the classical code runs next to the quantum processor (co-located). The handoff is automated and low-latency.</t>
    </r>
  </si>
  <si>
    <r>
      <rPr>
        <b/>
        <sz val="11"/>
        <color theme="4"/>
        <rFont val="Aptos Narrow"/>
        <family val="2"/>
        <scheme val="minor"/>
      </rPr>
      <t>4. Mostly Complete</t>
    </r>
    <r>
      <rPr>
        <sz val="11"/>
        <color theme="4"/>
        <rFont val="Aptos Narrow"/>
        <family val="2"/>
        <scheme val="minor"/>
      </rPr>
      <t xml:space="preserve"> - We use "Sessions" or "Batch Mode" execution. We group our jobs to reserve a dedicated block of time on the machine, eliminating the queue for iterative algorithms.</t>
    </r>
  </si>
  <si>
    <r>
      <rPr>
        <b/>
        <sz val="11"/>
        <color theme="4"/>
        <rFont val="Aptos Narrow"/>
        <family val="2"/>
        <scheme val="minor"/>
      </rPr>
      <t>4. Mostly Complete</t>
    </r>
    <r>
      <rPr>
        <sz val="11"/>
        <color theme="4"/>
        <rFont val="Aptos Narrow"/>
        <family val="2"/>
        <scheme val="minor"/>
      </rPr>
      <t xml:space="preserve"> - We have automated data pipelines. The quantum job triggers automatically based on a business event (e.g., "Nightly Inventory Update"), and the results are pushed back to a shared database.</t>
    </r>
  </si>
  <si>
    <r>
      <rPr>
        <b/>
        <sz val="11"/>
        <color theme="4"/>
        <rFont val="Aptos Narrow"/>
        <family val="2"/>
        <scheme val="minor"/>
      </rPr>
      <t xml:space="preserve">4. Mostly Complete </t>
    </r>
    <r>
      <rPr>
        <sz val="11"/>
        <color theme="4"/>
        <rFont val="Aptos Narrow"/>
        <family val="2"/>
        <scheme val="minor"/>
      </rPr>
      <t>- We use AI to optimize our quantum hardware. We employ classical Machine Learning to suppress quantum errors (Error Mitigation), allowing us to run longer circuits than otherwise possible.</t>
    </r>
  </si>
  <si>
    <r>
      <rPr>
        <b/>
        <sz val="11"/>
        <color theme="4"/>
        <rFont val="Aptos Narrow"/>
        <family val="2"/>
        <scheme val="minor"/>
      </rPr>
      <t xml:space="preserve">4. Mostly Complete </t>
    </r>
    <r>
      <rPr>
        <sz val="11"/>
        <color theme="4"/>
        <rFont val="Aptos Narrow"/>
        <family val="2"/>
        <scheme val="minor"/>
      </rPr>
      <t>- We have integrated quantum calls into our HPC schedulers (e.g., Slurm, Kubernetes). Our supercomputing clusters can dispatch jobs to a quantum backend as easily as to a GPU.</t>
    </r>
  </si>
  <si>
    <r>
      <rPr>
        <b/>
        <sz val="11"/>
        <color theme="4"/>
        <rFont val="Aptos Narrow"/>
        <family val="2"/>
        <scheme val="minor"/>
      </rPr>
      <t>4. Mostly Complete</t>
    </r>
    <r>
      <rPr>
        <sz val="11"/>
        <color theme="4"/>
        <rFont val="Aptos Narrow"/>
        <family val="2"/>
        <scheme val="minor"/>
      </rPr>
      <t xml:space="preserve"> - Our data is API-accessible and "Schema-Strict." We have automated pipelines that clean and normalize data specifically for high-performance computing ingestion.</t>
    </r>
  </si>
  <si>
    <r>
      <rPr>
        <b/>
        <sz val="11"/>
        <color theme="4"/>
        <rFont val="Aptos Narrow"/>
        <family val="2"/>
        <scheme val="minor"/>
      </rPr>
      <t>4. Mostly Complete</t>
    </r>
    <r>
      <rPr>
        <sz val="11"/>
        <color theme="4"/>
        <rFont val="Aptos Narrow"/>
        <family val="2"/>
        <scheme val="minor"/>
      </rPr>
      <t xml:space="preserve"> - We have enterprise-grade access. We utilize "Reserved Instances" or dedicated access to ensure our jobs run without waiting in public queues. We have central billing and security controls.</t>
    </r>
  </si>
  <si>
    <r>
      <rPr>
        <b/>
        <sz val="11"/>
        <color theme="4"/>
        <rFont val="Aptos Narrow"/>
        <family val="2"/>
        <scheme val="minor"/>
      </rPr>
      <t xml:space="preserve">4. Mostly Complete </t>
    </r>
    <r>
      <rPr>
        <sz val="11"/>
        <color theme="4"/>
        <rFont val="Aptos Narrow"/>
        <family val="2"/>
        <scheme val="minor"/>
      </rPr>
      <t>- We have a robust pipeline. We run regression tests against simulators and small-scale quantum hardware. We catch breaking changes in vendor SDKs automatically.</t>
    </r>
  </si>
  <si>
    <r>
      <rPr>
        <b/>
        <sz val="11"/>
        <color theme="4"/>
        <rFont val="Aptos Narrow"/>
        <family val="2"/>
        <scheme val="minor"/>
      </rPr>
      <t>4. Mostly Complete</t>
    </r>
    <r>
      <rPr>
        <sz val="11"/>
        <color theme="4"/>
        <rFont val="Aptos Narrow"/>
        <family val="2"/>
        <scheme val="minor"/>
      </rPr>
      <t xml:space="preserve"> - We use automated administration tools integrated with corporate SSO (Single Sign-On). We have set strict "hard limits" on usage quotas per department.</t>
    </r>
  </si>
  <si>
    <r>
      <rPr>
        <b/>
        <sz val="11"/>
        <color theme="4"/>
        <rFont val="Aptos Narrow"/>
        <family val="2"/>
        <scheme val="minor"/>
      </rPr>
      <t>4. Mostly Complete</t>
    </r>
    <r>
      <rPr>
        <sz val="11"/>
        <color theme="4"/>
        <rFont val="Aptos Narrow"/>
        <family val="2"/>
        <scheme val="minor"/>
      </rPr>
      <t xml:space="preserve"> - We have a "Coupled Roadmap." Our 3-year plan explicitly states: "In Q3 2026, when Vendor X releases 10k gates, we deploy Module Y." We have contingency plans for hardware slippage.</t>
    </r>
  </si>
  <si>
    <r>
      <rPr>
        <b/>
        <sz val="11"/>
        <color theme="4"/>
        <rFont val="Aptos Narrow"/>
        <family val="2"/>
        <scheme val="minor"/>
      </rPr>
      <t>4. Mostly Complete</t>
    </r>
    <r>
      <rPr>
        <sz val="11"/>
        <color theme="4"/>
        <rFont val="Aptos Narrow"/>
        <family val="2"/>
        <scheme val="minor"/>
      </rPr>
      <t xml:space="preserve"> - We have "Matrix Integration." Quantum projects are sponsored by specific R&amp;D Business Lines (e.g., the Battery Division pays for the Battery Simulation pilot). The quantum lead reports to the R&amp;D CTO.</t>
    </r>
  </si>
  <si>
    <r>
      <rPr>
        <b/>
        <sz val="11"/>
        <color theme="4"/>
        <rFont val="Aptos Narrow"/>
        <family val="2"/>
        <scheme val="minor"/>
      </rPr>
      <t>4. Mostly Complete</t>
    </r>
    <r>
      <rPr>
        <sz val="11"/>
        <color theme="4"/>
        <rFont val="Aptos Narrow"/>
        <family val="2"/>
        <scheme val="minor"/>
      </rPr>
      <t xml:space="preserve"> - We have "Dual Sign-Off." The CIO and the Business Unit Leader must both approve the roadmap. The Business Unit contributes a portion of the funding.</t>
    </r>
  </si>
  <si>
    <r>
      <rPr>
        <b/>
        <sz val="11"/>
        <color theme="4"/>
        <rFont val="Aptos Narrow"/>
        <family val="2"/>
        <scheme val="minor"/>
      </rPr>
      <t>4. Mostly Complete</t>
    </r>
    <r>
      <rPr>
        <sz val="11"/>
        <color theme="4"/>
        <rFont val="Aptos Narrow"/>
        <family val="2"/>
        <scheme val="minor"/>
      </rPr>
      <t xml:space="preserve"> - We have a formal, funded CoE. It has a dedicated lead and budget. It publishes the Standard Operating Procedures (SOPs) for quantum coding and vetting vendors.</t>
    </r>
  </si>
  <si>
    <r>
      <rPr>
        <b/>
        <sz val="11"/>
        <color theme="4"/>
        <rFont val="Aptos Narrow"/>
        <family val="2"/>
        <scheme val="minor"/>
      </rPr>
      <t>4. Mostly Complete</t>
    </r>
    <r>
      <rPr>
        <sz val="11"/>
        <color theme="4"/>
        <rFont val="Aptos Narrow"/>
        <family val="2"/>
        <scheme val="minor"/>
      </rPr>
      <t xml:space="preserve"> - We have a Ring-Fenced Annual Budget. We have a dedicated line item for Emerging Tech that is protected from standard efficiency cuts. We can fail on individual experiments without losing the program.</t>
    </r>
  </si>
  <si>
    <r>
      <rPr>
        <b/>
        <sz val="11"/>
        <color theme="4"/>
        <rFont val="Aptos Narrow"/>
        <family val="2"/>
        <scheme val="minor"/>
      </rPr>
      <t>4. Mostly Complete</t>
    </r>
    <r>
      <rPr>
        <sz val="11"/>
        <color theme="4"/>
        <rFont val="Aptos Narrow"/>
        <family val="2"/>
        <scheme val="minor"/>
      </rPr>
      <t xml:space="preserve"> - We have a Two-Legged Stool. We have Physicists and Software Engineers working together. The code is robust. The missing piece is the Translator, someone who can explain why this matters to the CEO.</t>
    </r>
  </si>
  <si>
    <r>
      <rPr>
        <b/>
        <sz val="11"/>
        <color theme="4"/>
        <rFont val="Aptos Narrow"/>
        <family val="2"/>
        <scheme val="minor"/>
      </rPr>
      <t>4. Mostly Complete</t>
    </r>
    <r>
      <rPr>
        <sz val="11"/>
        <color theme="4"/>
        <rFont val="Aptos Narrow"/>
        <family val="2"/>
        <scheme val="minor"/>
      </rPr>
      <t xml:space="preserve"> - We are Active Contributors. We have a formal approval process that allows staff to publish non-sensitive research. We encourage PRs (Pull Requests) to major frameworks like Qiskit or Pennylane.</t>
    </r>
  </si>
  <si>
    <r>
      <rPr>
        <b/>
        <sz val="11"/>
        <color theme="4"/>
        <rFont val="Aptos Narrow"/>
        <family val="2"/>
        <scheme val="minor"/>
      </rPr>
      <t>4. Mostly Complete</t>
    </r>
    <r>
      <rPr>
        <sz val="11"/>
        <color theme="4"/>
        <rFont val="Aptos Narrow"/>
        <family val="2"/>
        <scheme val="minor"/>
      </rPr>
      <t xml:space="preserve"> - We practice "Blameless Post-Mortems." When an experiment fails, we analyze the process, not the person. We view a negative result (e.g., "This molecule doesn't bind") as a successful outcome because it saves us from wasting further money.</t>
    </r>
  </si>
  <si>
    <r>
      <rPr>
        <b/>
        <sz val="11"/>
        <color theme="4"/>
        <rFont val="Aptos Narrow"/>
        <family val="2"/>
        <scheme val="minor"/>
      </rPr>
      <t>4. Mostly Complete</t>
    </r>
    <r>
      <rPr>
        <sz val="11"/>
        <color theme="4"/>
        <rFont val="Aptos Narrow"/>
        <family val="2"/>
        <scheme val="minor"/>
      </rPr>
      <t xml:space="preserve"> - We have a Strategic Risk Framework. The Board has signed off on a 3-year Zero Revenue period for Quantum. We view the risk as "Asymmetric", the cost of doing nothing is higher than the cost of failing.</t>
    </r>
  </si>
  <si>
    <r>
      <rPr>
        <b/>
        <sz val="11"/>
        <color theme="4"/>
        <rFont val="Aptos Narrow"/>
        <family val="2"/>
        <scheme val="minor"/>
      </rPr>
      <t>4. Mostly Complete</t>
    </r>
    <r>
      <rPr>
        <sz val="11"/>
        <color theme="4"/>
        <rFont val="Aptos Narrow"/>
        <family val="2"/>
        <scheme val="minor"/>
      </rPr>
      <t xml:space="preserve"> - We have a Stage-Gate Process. We have formal review gates (Idea -&gt; Feasibility -&gt; Pilot -&gt; Production). We kill bad ideas early and resource good ideas for integration.</t>
    </r>
  </si>
  <si>
    <r>
      <rPr>
        <b/>
        <sz val="11"/>
        <color theme="4"/>
        <rFont val="Aptos Narrow"/>
        <family val="2"/>
        <scheme val="minor"/>
      </rPr>
      <t xml:space="preserve">4. Mostly Complete </t>
    </r>
    <r>
      <rPr>
        <sz val="11"/>
        <color theme="4"/>
        <rFont val="Aptos Narrow"/>
        <family val="2"/>
        <scheme val="minor"/>
      </rPr>
      <t>- We use Scenario Planning. Our corporate strategy includes Quantum Accelerate and Quantum Stagnate scenarios. We have modeled how a breakthrough in 2027 would alter our supply chain and competitive positioning.</t>
    </r>
  </si>
  <si>
    <r>
      <rPr>
        <b/>
        <sz val="11"/>
        <color theme="4"/>
        <rFont val="Aptos Narrow"/>
        <family val="2"/>
        <scheme val="minor"/>
      </rPr>
      <t>4. Mostly Complete</t>
    </r>
    <r>
      <rPr>
        <sz val="11"/>
        <color theme="4"/>
        <rFont val="Aptos Narrow"/>
        <family val="2"/>
        <scheme val="minor"/>
      </rPr>
      <t xml:space="preserve"> - We require a "Value Hypothesis" before approval. The project charter must state: "A 1% improvement in this algorithm saves $5M in logistics costs annually." We reject projects that lack this clarity.</t>
    </r>
  </si>
  <si>
    <r>
      <rPr>
        <b/>
        <sz val="11"/>
        <color theme="4"/>
        <rFont val="Aptos Narrow"/>
        <family val="2"/>
        <scheme val="minor"/>
      </rPr>
      <t>4. Mostly Complete</t>
    </r>
    <r>
      <rPr>
        <sz val="11"/>
        <color theme="4"/>
        <rFont val="Aptos Narrow"/>
        <family val="2"/>
        <scheme val="minor"/>
      </rPr>
      <t xml:space="preserve"> - We have a "Robustness Standard." To be certified for production, a solution must pass a "Noise Resilience Test." It must prove it can maintain accuracy even when error rates spike by 10%.</t>
    </r>
  </si>
  <si>
    <r>
      <rPr>
        <b/>
        <sz val="11"/>
        <color theme="4"/>
        <rFont val="Aptos Narrow"/>
        <family val="2"/>
        <scheme val="minor"/>
      </rPr>
      <t>4. Mostly Complete</t>
    </r>
    <r>
      <rPr>
        <sz val="11"/>
        <color theme="4"/>
        <rFont val="Aptos Narrow"/>
        <family val="2"/>
        <scheme val="minor"/>
      </rPr>
      <t xml:space="preserve"> - We use "Dual-Track Agile." The Software Engineering team runs standard 2-week sprints. The Physics team runs longer, variable "Research Cycles." They sync up every month to integrate.</t>
    </r>
  </si>
  <si>
    <r>
      <rPr>
        <b/>
        <sz val="11"/>
        <color theme="4"/>
        <rFont val="Aptos Narrow"/>
        <family val="2"/>
        <scheme val="minor"/>
      </rPr>
      <t xml:space="preserve">4. Mostly Complete </t>
    </r>
    <r>
      <rPr>
        <sz val="11"/>
        <color theme="4"/>
        <rFont val="Aptos Narrow"/>
        <family val="2"/>
        <scheme val="minor"/>
      </rPr>
      <t>- We utilize "Heuristic Advantages." We deploy solutions that use quantum (or quantum-inspired) solvers to break out of local minima, even if the final optimization is classical. We capture small wins (1-2% efficiency gains).</t>
    </r>
  </si>
  <si>
    <r>
      <rPr>
        <b/>
        <sz val="11"/>
        <color theme="4"/>
        <rFont val="Aptos Narrow"/>
        <family val="2"/>
        <scheme val="minor"/>
      </rPr>
      <t>4. Mostly Complete</t>
    </r>
    <r>
      <rPr>
        <sz val="11"/>
        <color theme="4"/>
        <rFont val="Aptos Narrow"/>
        <family val="2"/>
        <scheme val="minor"/>
      </rPr>
      <t xml:space="preserve"> - We have Scheduled Optimization Cycles. Our CI/CD pipeline includes a Re-Transpilation step. We verify that our circuits are using the latest native gate sets (e.g., Dynamic Circuits) supported by the backend.</t>
    </r>
  </si>
  <si>
    <r>
      <rPr>
        <b/>
        <sz val="11"/>
        <color theme="4"/>
        <rFont val="Aptos Narrow"/>
        <family val="2"/>
        <scheme val="minor"/>
      </rPr>
      <t>4. Mostly Complete</t>
    </r>
    <r>
      <rPr>
        <sz val="11"/>
        <color theme="4"/>
        <rFont val="Aptos Narrow"/>
        <family val="2"/>
        <scheme val="minor"/>
      </rPr>
      <t xml:space="preserve"> - We have "Obfuscated Execution." We use circuit knitting or data masking techniques to ensure that the quantum cloud provider never sees the full problem. We treat the quantum backend as an "Untrusted Environment."</t>
    </r>
  </si>
  <si>
    <r>
      <rPr>
        <b/>
        <sz val="11"/>
        <color theme="4"/>
        <rFont val="Aptos Narrow"/>
        <family val="2"/>
        <scheme val="minor"/>
      </rPr>
      <t>5. Fully Complete</t>
    </r>
    <r>
      <rPr>
        <sz val="11"/>
        <color theme="4"/>
        <rFont val="Aptos Narrow"/>
        <family val="2"/>
        <scheme val="minor"/>
      </rPr>
      <t xml:space="preserve"> - We have a fully institutionalized, continuous process for identifying and validating quantum opportunities. The mapping is dynamic, covering the entire enterprise and aligned with strategy.</t>
    </r>
  </si>
  <si>
    <r>
      <rPr>
        <b/>
        <sz val="11"/>
        <color theme="4"/>
        <rFont val="Aptos Narrow"/>
        <family val="2"/>
        <scheme val="minor"/>
      </rPr>
      <t>5. Fully Complete</t>
    </r>
    <r>
      <rPr>
        <sz val="11"/>
        <color theme="4"/>
        <rFont val="Aptos Narrow"/>
        <family val="2"/>
        <scheme val="minor"/>
      </rPr>
      <t xml:space="preserve"> - We maintain a dynamic, living scenario model. It is integrated into corporate strategy, updated quarterly based on hardware metrics, and drives immediate capital allocation decisions.</t>
    </r>
  </si>
  <si>
    <r>
      <rPr>
        <b/>
        <sz val="11"/>
        <color theme="4"/>
        <rFont val="Aptos Narrow"/>
        <family val="2"/>
        <scheme val="minor"/>
      </rPr>
      <t xml:space="preserve">5. Fully Complete </t>
    </r>
    <r>
      <rPr>
        <sz val="11"/>
        <color theme="4"/>
        <rFont val="Aptos Narrow"/>
        <family val="2"/>
        <scheme val="minor"/>
      </rPr>
      <t>- We have a comprehensive, curated intelligence engine. Market data triggers immediate strategic reviews. We track deep technical metrics (not just news) and competitor IP filings in near real-time.</t>
    </r>
  </si>
  <si>
    <r>
      <rPr>
        <b/>
        <sz val="11"/>
        <color theme="4"/>
        <rFont val="Aptos Narrow"/>
        <family val="2"/>
        <scheme val="minor"/>
      </rPr>
      <t>5. Fully Complete</t>
    </r>
    <r>
      <rPr>
        <sz val="11"/>
        <color theme="4"/>
        <rFont val="Aptos Narrow"/>
        <family val="2"/>
        <scheme val="minor"/>
      </rPr>
      <t xml:space="preserve"> - We have a continuous, deep-dive vetting process. We audit their technical stack and their solvency. We view them as strategic partners, integrating their specific "value add" into our long-term roadmap.</t>
    </r>
  </si>
  <si>
    <r>
      <rPr>
        <b/>
        <sz val="11"/>
        <color theme="4"/>
        <rFont val="Aptos Narrow"/>
        <family val="2"/>
        <scheme val="minor"/>
      </rPr>
      <t>5. Fully Complete</t>
    </r>
    <r>
      <rPr>
        <sz val="11"/>
        <color theme="4"/>
        <rFont val="Aptos Narrow"/>
        <family val="2"/>
        <scheme val="minor"/>
      </rPr>
      <t xml:space="preserve"> - We have an active, funded acquisition engine. We regularly close strategic investments or partnerships that lock in exclusive access to talent and IP. Integration playbooks are ready.</t>
    </r>
  </si>
  <si>
    <r>
      <rPr>
        <b/>
        <sz val="11"/>
        <color theme="4"/>
        <rFont val="Aptos Narrow"/>
        <family val="2"/>
        <scheme val="minor"/>
      </rPr>
      <t>5. Fully Complete</t>
    </r>
    <r>
      <rPr>
        <sz val="11"/>
        <color theme="4"/>
        <rFont val="Aptos Narrow"/>
        <family val="2"/>
        <scheme val="minor"/>
      </rPr>
      <t xml:space="preserve"> - We have a rigorous "Go/No-Go" framework. We only deploy quantum resources when we can mathematically prove a path to advantage in accuracy, cost, or efficiency. We do not waste qubits on classical problems.</t>
    </r>
  </si>
  <si>
    <r>
      <rPr>
        <b/>
        <sz val="11"/>
        <color theme="4"/>
        <rFont val="Aptos Narrow"/>
        <family val="2"/>
        <scheme val="minor"/>
      </rPr>
      <t>5. Fully Complete</t>
    </r>
    <r>
      <rPr>
        <sz val="11"/>
        <color theme="4"/>
        <rFont val="Aptos Narrow"/>
        <family val="2"/>
        <scheme val="minor"/>
      </rPr>
      <t xml:space="preserve"> - We have a dynamic ROI model integrated into our 5-year financial plan. We have defined "break-even" dates for each use case and adjust capital allocation quarterly based on acceleration or delays in the technology.</t>
    </r>
  </si>
  <si>
    <r>
      <rPr>
        <b/>
        <sz val="11"/>
        <color theme="4"/>
        <rFont val="Aptos Narrow"/>
        <family val="2"/>
        <scheme val="minor"/>
      </rPr>
      <t>5. Fully Complete</t>
    </r>
    <r>
      <rPr>
        <sz val="11"/>
        <color theme="4"/>
        <rFont val="Aptos Narrow"/>
        <family val="2"/>
        <scheme val="minor"/>
      </rPr>
      <t xml:space="preserve"> - We have a rigorous, automated "Stage-Gate" mechanism integrated into corporate R&amp;D. We have a "Kill Switch" that ruthlessly deprioritizes projects missing their KPIs, reallocating capital instantly.</t>
    </r>
  </si>
  <si>
    <r>
      <rPr>
        <b/>
        <sz val="11"/>
        <color theme="4"/>
        <rFont val="Aptos Narrow"/>
        <family val="2"/>
        <scheme val="minor"/>
      </rPr>
      <t>5. Fully Complete</t>
    </r>
    <r>
      <rPr>
        <sz val="11"/>
        <color theme="4"/>
        <rFont val="Aptos Narrow"/>
        <family val="2"/>
        <scheme val="minor"/>
      </rPr>
      <t xml:space="preserve"> - We have institutionalized these capabilities. Our "Quantum" program is self-funding because it generates current P&amp;L efficiency through better classical heuristics and data structures.</t>
    </r>
  </si>
  <si>
    <r>
      <rPr>
        <b/>
        <sz val="11"/>
        <color theme="4"/>
        <rFont val="Aptos Narrow"/>
        <family val="2"/>
        <scheme val="minor"/>
      </rPr>
      <t>5. Fully Complete</t>
    </r>
    <r>
      <rPr>
        <sz val="11"/>
        <color theme="4"/>
        <rFont val="Aptos Narrow"/>
        <family val="2"/>
        <scheme val="minor"/>
      </rPr>
      <t xml:space="preserve"> - We have a mature, multi-track exploration engine. We have validated feasibility in multiple domains and are now "Integrating" the winners into production while cutting the losers.</t>
    </r>
  </si>
  <si>
    <r>
      <rPr>
        <b/>
        <sz val="11"/>
        <color theme="4"/>
        <rFont val="Aptos Narrow"/>
        <family val="2"/>
        <scheme val="minor"/>
      </rPr>
      <t>5. Fully Complete</t>
    </r>
    <r>
      <rPr>
        <sz val="11"/>
        <color theme="4"/>
        <rFont val="Aptos Narrow"/>
        <family val="2"/>
        <scheme val="minor"/>
      </rPr>
      <t xml:space="preserve"> - We have an impenetrable "IP Fortress." We not only own the IP; we have a strategy to effectively hide it (Trade Secrets) or fence it (Patents). We audit vendor compliance to ensure no leakage of our data or algorithms into their public models.</t>
    </r>
  </si>
  <si>
    <r>
      <rPr>
        <b/>
        <sz val="11"/>
        <color theme="4"/>
        <rFont val="Aptos Narrow"/>
        <family val="2"/>
        <scheme val="minor"/>
      </rPr>
      <t>5. Fully Complete</t>
    </r>
    <r>
      <rPr>
        <sz val="11"/>
        <color theme="4"/>
        <rFont val="Aptos Narrow"/>
        <family val="2"/>
        <scheme val="minor"/>
      </rPr>
      <t xml:space="preserve"> - We have an institutionalized, strategic decision engine. The model is integrated with our "HNDL" defense strategy. We deliberately use Open Source to commoditize layers where we don't differentiate, and Trade Secrets to lock down the "Crown Jewels."</t>
    </r>
  </si>
  <si>
    <r>
      <rPr>
        <b/>
        <sz val="11"/>
        <color theme="4"/>
        <rFont val="Aptos Narrow"/>
        <family val="2"/>
        <scheme val="minor"/>
      </rPr>
      <t>5. Fully Complete</t>
    </r>
    <r>
      <rPr>
        <sz val="11"/>
        <color theme="4"/>
        <rFont val="Aptos Narrow"/>
        <family val="2"/>
        <scheme val="minor"/>
      </rPr>
      <t xml:space="preserve"> - We have a proactive "IP Mining" engine. We embed IP strategists into R&amp;D sprints to identify inventions as they happen. The Review Board grades every concept on a "Commercial Impact" matrix before spending a dime on legal fees.</t>
    </r>
  </si>
  <si>
    <r>
      <rPr>
        <b/>
        <sz val="11"/>
        <color theme="4"/>
        <rFont val="Aptos Narrow"/>
        <family val="2"/>
        <scheme val="minor"/>
      </rPr>
      <t>5. Fully Complete</t>
    </r>
    <r>
      <rPr>
        <sz val="11"/>
        <color theme="4"/>
        <rFont val="Aptos Narrow"/>
        <family val="2"/>
        <scheme val="minor"/>
      </rPr>
      <t xml:space="preserve"> - We are building a "Patent Thicket." We file offensive and defensive patents surrounding our core use cases. We deliberately create a "minefield" that forces competitors to cross-license with us to operate in our sector.</t>
    </r>
  </si>
  <si>
    <r>
      <rPr>
        <b/>
        <sz val="11"/>
        <color theme="4"/>
        <rFont val="Aptos Narrow"/>
        <family val="2"/>
        <scheme val="minor"/>
      </rPr>
      <t>5. Fully Complete</t>
    </r>
    <r>
      <rPr>
        <sz val="11"/>
        <color theme="4"/>
        <rFont val="Aptos Narrow"/>
        <family val="2"/>
        <scheme val="minor"/>
      </rPr>
      <t xml:space="preserve"> - We have an active, revenue-generating licensing engine. Our suppliers pay us to use our quantum-optimized logistics tools. We use cross-licensing to access competitor IP without cash outlay.</t>
    </r>
  </si>
  <si>
    <r>
      <rPr>
        <b/>
        <sz val="11"/>
        <color theme="4"/>
        <rFont val="Aptos Narrow"/>
        <family val="2"/>
        <scheme val="minor"/>
      </rPr>
      <t>5. Fully Complete</t>
    </r>
    <r>
      <rPr>
        <sz val="11"/>
        <color theme="4"/>
        <rFont val="Aptos Narrow"/>
        <family val="2"/>
        <scheme val="minor"/>
      </rPr>
      <t xml:space="preserve"> - We are a "Reference Architecture" partner. We are co-authoring the validation standards with the agency. Our validation protocols are becoming the industry requirement, effectively creating a regulatory moat against competitors who can't meet our standard.</t>
    </r>
  </si>
  <si>
    <r>
      <rPr>
        <b/>
        <sz val="11"/>
        <color theme="4"/>
        <rFont val="Aptos Narrow"/>
        <family val="2"/>
        <scheme val="minor"/>
      </rPr>
      <t xml:space="preserve">5. Fully Complete </t>
    </r>
    <r>
      <rPr>
        <sz val="11"/>
        <color theme="4"/>
        <rFont val="Aptos Narrow"/>
        <family val="2"/>
        <scheme val="minor"/>
      </rPr>
      <t>- We have achieved "Universal Interoperability." Our entire stack is built on open standards. We can swap backend providers (e.g., IBM to Pasqal) with zero code rewrites because our "Understanding" has translated into a perfectly modular architecture.</t>
    </r>
  </si>
  <si>
    <r>
      <rPr>
        <b/>
        <sz val="11"/>
        <color theme="4"/>
        <rFont val="Aptos Narrow"/>
        <family val="2"/>
        <scheme val="minor"/>
      </rPr>
      <t>5. Fully Complete</t>
    </r>
    <r>
      <rPr>
        <sz val="11"/>
        <color theme="4"/>
        <rFont val="Aptos Narrow"/>
        <family val="2"/>
        <scheme val="minor"/>
      </rPr>
      <t xml:space="preserve"> - We hold leadership positions (Board/Chair) in key industry bodies. We steer the agenda to favor our specific technical needs (e.g., "Standardizing Neutral Atom benchmarks"). We use the ecosystem to build our supply chain.</t>
    </r>
  </si>
  <si>
    <r>
      <rPr>
        <b/>
        <sz val="11"/>
        <color theme="4"/>
        <rFont val="Aptos Narrow"/>
        <family val="2"/>
        <scheme val="minor"/>
      </rPr>
      <t>5. Fully Complete</t>
    </r>
    <r>
      <rPr>
        <sz val="11"/>
        <color theme="4"/>
        <rFont val="Aptos Narrow"/>
        <family val="2"/>
        <scheme val="minor"/>
      </rPr>
      <t xml:space="preserve"> - We have achieved "Sovereign Code." Our containers are fully abstracted. We can take a workload running on Vendor A, change a config line, and redeploy it to Vendor B's container service without breaking the build.</t>
    </r>
  </si>
  <si>
    <r>
      <rPr>
        <b/>
        <sz val="11"/>
        <color theme="4"/>
        <rFont val="Aptos Narrow"/>
        <family val="2"/>
        <scheme val="minor"/>
      </rPr>
      <t>5. Fully Complete</t>
    </r>
    <r>
      <rPr>
        <sz val="11"/>
        <color theme="4"/>
        <rFont val="Aptos Narrow"/>
        <family val="2"/>
        <scheme val="minor"/>
      </rPr>
      <t xml:space="preserve"> - We have "Intelligent Orchestration." Our workload manager dynamically assigns tasks. If the QPU is busy or error-prone, it falls back to a classical simulator automatically. The user doesn't even know which machine solved the problem.</t>
    </r>
  </si>
  <si>
    <r>
      <rPr>
        <b/>
        <sz val="11"/>
        <color theme="4"/>
        <rFont val="Aptos Narrow"/>
        <family val="2"/>
        <scheme val="minor"/>
      </rPr>
      <t>5. Fully Complete</t>
    </r>
    <r>
      <rPr>
        <sz val="11"/>
        <color theme="4"/>
        <rFont val="Aptos Narrow"/>
        <family val="2"/>
        <scheme val="minor"/>
      </rPr>
      <t xml:space="preserve"> - We have "Dynamic Optimization." Our stack automatically rewrites circuits in real-time based on the daily calibration data of the specific chip we are targeting. We use advanced error suppression to get accurate results with fewer "shots," directly reducing cost and time.</t>
    </r>
  </si>
  <si>
    <r>
      <rPr>
        <b/>
        <sz val="11"/>
        <color theme="4"/>
        <rFont val="Aptos Narrow"/>
        <family val="2"/>
        <scheme val="minor"/>
      </rPr>
      <t>5. Fully Complete</t>
    </r>
    <r>
      <rPr>
        <sz val="11"/>
        <color theme="4"/>
        <rFont val="Aptos Narrow"/>
        <family val="2"/>
        <scheme val="minor"/>
      </rPr>
      <t xml:space="preserve"> - We have "Seamless Ingestion." The quantum solver is wrapped as a standard API. The downstream user (e.g., a factory scheduler) interacts with their normal dashboard, unaware that the optimization suggestion came from a QPU.</t>
    </r>
  </si>
  <si>
    <r>
      <rPr>
        <b/>
        <sz val="11"/>
        <color theme="4"/>
        <rFont val="Aptos Narrow"/>
        <family val="2"/>
        <scheme val="minor"/>
      </rPr>
      <t xml:space="preserve">5. Fully Complete </t>
    </r>
    <r>
      <rPr>
        <sz val="11"/>
        <color theme="4"/>
        <rFont val="Aptos Narrow"/>
        <family val="2"/>
        <scheme val="minor"/>
      </rPr>
      <t>- We have a "Convergent Stack." Our workflow automatically selects the best accelerator. It uses Quantum for feature space expansion and Classical AI for pattern recognition. The interplay is seamless and automated.</t>
    </r>
  </si>
  <si>
    <r>
      <rPr>
        <b/>
        <sz val="11"/>
        <color theme="4"/>
        <rFont val="Aptos Narrow"/>
        <family val="2"/>
        <scheme val="minor"/>
      </rPr>
      <t>5. Fully Complete</t>
    </r>
    <r>
      <rPr>
        <sz val="11"/>
        <color theme="4"/>
        <rFont val="Aptos Narrow"/>
        <family val="2"/>
        <scheme val="minor"/>
      </rPr>
      <t xml:space="preserve"> - We have "Workflow Sovereignty." We seamlessly mix CPU, GPU, and QPU resources. We use "Quantum-Centric Supercomputing" to solve problems that were previously impossible, effectively extending the boundaries of our computational science.</t>
    </r>
  </si>
  <si>
    <r>
      <rPr>
        <b/>
        <sz val="11"/>
        <color theme="4"/>
        <rFont val="Aptos Narrow"/>
        <family val="2"/>
        <scheme val="minor"/>
      </rPr>
      <t>5. Fully Complete</t>
    </r>
    <r>
      <rPr>
        <sz val="11"/>
        <color theme="4"/>
        <rFont val="Aptos Narrow"/>
        <family val="2"/>
        <scheme val="minor"/>
      </rPr>
      <t xml:space="preserve"> - We have "Quantum-Ready Data." We prioritize "High-Dimensional" data richness. We have pre-calculated classical features to minimize the "State Preparation" cost on the quantum hardware.</t>
    </r>
  </si>
  <si>
    <r>
      <rPr>
        <b/>
        <sz val="11"/>
        <color theme="4"/>
        <rFont val="Aptos Narrow"/>
        <family val="2"/>
        <scheme val="minor"/>
      </rPr>
      <t>5. Fully Complete</t>
    </r>
    <r>
      <rPr>
        <sz val="11"/>
        <color theme="4"/>
        <rFont val="Aptos Narrow"/>
        <family val="2"/>
        <scheme val="minor"/>
      </rPr>
      <t xml:space="preserve"> - We have a "Multi-Cloud Agnostic" strategy. We use an abstraction layer that allows us to route a job to any backend (IonQ, Rigetti, IBM) based on availability, fidelity, or cost. We are not beholden to any single provider.</t>
    </r>
  </si>
  <si>
    <r>
      <rPr>
        <b/>
        <sz val="11"/>
        <color theme="4"/>
        <rFont val="Aptos Narrow"/>
        <family val="2"/>
        <scheme val="minor"/>
      </rPr>
      <t>5. Fully Complete</t>
    </r>
    <r>
      <rPr>
        <sz val="11"/>
        <color theme="4"/>
        <rFont val="Aptos Narrow"/>
        <family val="2"/>
        <scheme val="minor"/>
      </rPr>
      <t xml:space="preserve"> - We have "Calibration-Aware" CI/CD. Our pipeline pulls the daily calibration data (noise profiles) from the hardware provider before the build. It automatically re-transpiles and optimizes the circuit for today's hardware reality.</t>
    </r>
  </si>
  <si>
    <r>
      <rPr>
        <b/>
        <sz val="11"/>
        <color theme="4"/>
        <rFont val="Aptos Narrow"/>
        <family val="2"/>
        <scheme val="minor"/>
      </rPr>
      <t>5. Fully Complete</t>
    </r>
    <r>
      <rPr>
        <sz val="11"/>
        <color theme="4"/>
        <rFont val="Aptos Narrow"/>
        <family val="2"/>
        <scheme val="minor"/>
      </rPr>
      <t xml:space="preserve"> - We have implemented Quantum FinOps. Our administration tools provide real-time cost anomaly detection. We dynamically reallocate unused quotas between teams. We have automated "chargeback" models that bill the specific business unit (e.g., Logistics) for their quantum consumption.</t>
    </r>
  </si>
  <si>
    <r>
      <rPr>
        <b/>
        <sz val="11"/>
        <color theme="4"/>
        <rFont val="Aptos Narrow"/>
        <family val="2"/>
        <scheme val="minor"/>
      </rPr>
      <t>5. Fully Complete</t>
    </r>
    <r>
      <rPr>
        <sz val="11"/>
        <color theme="4"/>
        <rFont val="Aptos Narrow"/>
        <family val="2"/>
        <scheme val="minor"/>
      </rPr>
      <t xml:space="preserve"> - We have "Co-Development" status. We meet with vendor product teams under NDA to see the real roadmap (not the public marketing one). We influence their feature set to prioritize the gates/connectivity we need.</t>
    </r>
  </si>
  <si>
    <r>
      <rPr>
        <b/>
        <sz val="11"/>
        <color theme="4"/>
        <rFont val="Aptos Narrow"/>
        <family val="2"/>
        <scheme val="minor"/>
      </rPr>
      <t>5. Fully Complete</t>
    </r>
    <r>
      <rPr>
        <sz val="11"/>
        <color theme="4"/>
        <rFont val="Aptos Narrow"/>
        <family val="2"/>
        <scheme val="minor"/>
      </rPr>
      <t xml:space="preserve"> - We have "Unified R&amp;D." Quantum is just another tool in the R&amp;D toolbox, alongside AI and HPC. We have mixed squads of physicists, chemists, and software engineers working on the same Jira ticket. The distinction between "Quantum Team" and "R&amp;D Team" has vanished.</t>
    </r>
  </si>
  <si>
    <r>
      <rPr>
        <b/>
        <sz val="11"/>
        <color theme="4"/>
        <rFont val="Aptos Narrow"/>
        <family val="2"/>
        <scheme val="minor"/>
      </rPr>
      <t>5. Fully Complete</t>
    </r>
    <r>
      <rPr>
        <sz val="11"/>
        <color theme="4"/>
        <rFont val="Aptos Narrow"/>
        <family val="2"/>
        <scheme val="minor"/>
      </rPr>
      <t xml:space="preserve"> - We have Shared P&amp;L Accountability. Quantum Readiness is a formal KPI on both executives' annual reviews. If the project fails to deliver ROI, both lose their bonus.</t>
    </r>
  </si>
  <si>
    <r>
      <rPr>
        <b/>
        <sz val="11"/>
        <color theme="4"/>
        <rFont val="Aptos Narrow"/>
        <family val="2"/>
        <scheme val="minor"/>
      </rPr>
      <t>5. Fully Complete</t>
    </r>
    <r>
      <rPr>
        <sz val="11"/>
        <color theme="4"/>
        <rFont val="Aptos Narrow"/>
        <family val="2"/>
        <scheme val="minor"/>
      </rPr>
      <t xml:space="preserve"> - We have a Federated Hub-and-Spoke model. The Central CoE sets the standards, but Quantum Champions are embedded in every business unit (Logistics, Finance, Chem). The CoE functions as an internal "University" and "Consultancy."</t>
    </r>
  </si>
  <si>
    <r>
      <rPr>
        <b/>
        <sz val="11"/>
        <color theme="4"/>
        <rFont val="Aptos Narrow"/>
        <family val="2"/>
        <scheme val="minor"/>
      </rPr>
      <t xml:space="preserve">5. Fully Complete </t>
    </r>
    <r>
      <rPr>
        <sz val="11"/>
        <color theme="4"/>
        <rFont val="Aptos Narrow"/>
        <family val="2"/>
        <scheme val="minor"/>
      </rPr>
      <t>- We have a Venture Capital Model. We fund the portfolio, not the project. We allocate 'Horizon 3' capital that expects zero ROI for 3 years. We release funds in tranches based on learning milestones, not just profit milestones.</t>
    </r>
  </si>
  <si>
    <r>
      <rPr>
        <b/>
        <sz val="11"/>
        <color theme="4"/>
        <rFont val="Aptos Narrow"/>
        <family val="2"/>
        <scheme val="minor"/>
      </rPr>
      <t>5. Fully Complete</t>
    </r>
    <r>
      <rPr>
        <sz val="11"/>
        <color theme="4"/>
        <rFont val="Aptos Narrow"/>
        <family val="2"/>
        <scheme val="minor"/>
      </rPr>
      <t xml:space="preserve"> - We have the Golden Triangle. Our squad includes a Physicist (Science), a DevOps Engineer (Scale), and a Business Translator (Value). They operate as a single unit.</t>
    </r>
  </si>
  <si>
    <r>
      <rPr>
        <b/>
        <sz val="11"/>
        <color theme="4"/>
        <rFont val="Aptos Narrow"/>
        <family val="2"/>
        <scheme val="minor"/>
      </rPr>
      <t>5. Fully Complete</t>
    </r>
    <r>
      <rPr>
        <sz val="11"/>
        <color theme="4"/>
        <rFont val="Aptos Narrow"/>
        <family val="2"/>
        <scheme val="minor"/>
      </rPr>
      <t xml:space="preserve"> - We are Ecosystem Leaders. We maintain our own open-source tools that others use. Our staff hold chair positions in technical committees. We view our open-source presence as our primary recruiting funnel.</t>
    </r>
  </si>
  <si>
    <r>
      <rPr>
        <b/>
        <sz val="11"/>
        <color theme="4"/>
        <rFont val="Aptos Narrow"/>
        <family val="2"/>
        <scheme val="minor"/>
      </rPr>
      <t>5. Fully Complete</t>
    </r>
    <r>
      <rPr>
        <sz val="11"/>
        <color theme="4"/>
        <rFont val="Aptos Narrow"/>
        <family val="2"/>
        <scheme val="minor"/>
      </rPr>
      <t xml:space="preserve"> - We celebrate Invalidated Hypotheses. We literally throw a party when a team kills a project early based on data. We view Negative Knowledge (knowing what doesn't work) as a proprietary asset that keeps us ahead of competitors who are still trying it.</t>
    </r>
  </si>
  <si>
    <r>
      <rPr>
        <b/>
        <sz val="11"/>
        <color theme="4"/>
        <rFont val="Aptos Narrow"/>
        <family val="2"/>
        <scheme val="minor"/>
      </rPr>
      <t>5. Fully Complete</t>
    </r>
    <r>
      <rPr>
        <sz val="11"/>
        <color theme="4"/>
        <rFont val="Aptos Narrow"/>
        <family val="2"/>
        <scheme val="minor"/>
      </rPr>
      <t xml:space="preserve"> - We have a Venture Risk Profile. We expect 90% of our quantum projects to fail. We optimize for Magnitude of Success, not Frequency of Success. We are willing to lose $10M to find the one $1B opportunity.</t>
    </r>
  </si>
  <si>
    <r>
      <rPr>
        <b/>
        <sz val="11"/>
        <color theme="4"/>
        <rFont val="Aptos Narrow"/>
        <family val="2"/>
        <scheme val="minor"/>
      </rPr>
      <t>5. Fully Complete</t>
    </r>
    <r>
      <rPr>
        <sz val="11"/>
        <color theme="4"/>
        <rFont val="Aptos Narrow"/>
        <family val="2"/>
        <scheme val="minor"/>
      </rPr>
      <t xml:space="preserve"> - We have an Innovation Factory. Our funnel is automated. Validated quantum algorithms are automatically wrapped in APIs and pushed to the CI/CD pipeline. The time from "Whiteboard" to "Live Service" is measured in weeks, not years.</t>
    </r>
  </si>
  <si>
    <r>
      <rPr>
        <b/>
        <sz val="11"/>
        <color theme="4"/>
        <rFont val="Aptos Narrow"/>
        <family val="2"/>
        <scheme val="minor"/>
      </rPr>
      <t>5. Fully Complete</t>
    </r>
    <r>
      <rPr>
        <sz val="11"/>
        <color theme="4"/>
        <rFont val="Aptos Narrow"/>
        <family val="2"/>
        <scheme val="minor"/>
      </rPr>
      <t xml:space="preserve"> - Quantum is a Strategic Pillar. Our long-term corporate goals (e.g., Carbon Neutral by 2035) are explicitly dependent on quantum breakthroughs. We have bet the farm that this technology will unlock the efficiencies we need to hit our targets.</t>
    </r>
  </si>
  <si>
    <r>
      <rPr>
        <b/>
        <sz val="11"/>
        <color theme="4"/>
        <rFont val="Aptos Narrow"/>
        <family val="2"/>
        <scheme val="minor"/>
      </rPr>
      <t>5. Fully Complete</t>
    </r>
    <r>
      <rPr>
        <sz val="11"/>
        <color theme="4"/>
        <rFont val="Aptos Narrow"/>
        <family val="2"/>
        <scheme val="minor"/>
      </rPr>
      <t xml:space="preserve"> - We benchmark against "Classical Best." Our value calculation explicitly subtracts the cost of the classical alternative. We only pursue quantum if the net value (Quantum Value minus Classical Cost) is positive and significant.</t>
    </r>
  </si>
  <si>
    <r>
      <rPr>
        <b/>
        <sz val="11"/>
        <color theme="4"/>
        <rFont val="Aptos Narrow"/>
        <family val="2"/>
        <scheme val="minor"/>
      </rPr>
      <t xml:space="preserve">5. Fully Complete </t>
    </r>
    <r>
      <rPr>
        <sz val="11"/>
        <color theme="4"/>
        <rFont val="Aptos Narrow"/>
        <family val="2"/>
        <scheme val="minor"/>
      </rPr>
      <t>- We use Verification &amp; Validation (V&amp;V) Protocols. We use formal methods (and sometimes classical supercomputers) to mathematically prove the bounds of the quantum answer. We issue a Certificate of Correctness with every run.</t>
    </r>
  </si>
  <si>
    <r>
      <rPr>
        <b/>
        <sz val="11"/>
        <color theme="4"/>
        <rFont val="Aptos Narrow"/>
        <family val="2"/>
        <scheme val="minor"/>
      </rPr>
      <t>5. Fully Complete</t>
    </r>
    <r>
      <rPr>
        <sz val="11"/>
        <color theme="4"/>
        <rFont val="Aptos Narrow"/>
        <family val="2"/>
        <scheme val="minor"/>
      </rPr>
      <t xml:space="preserve"> - We practice "Hypothesis-Driven Development." Every sprint ends with a concrete experimental result (even if it's negative). We pivot our roadmap every 2 weeks based on what the quantum computer actually did, not what we hoped it would do.</t>
    </r>
  </si>
  <si>
    <r>
      <rPr>
        <b/>
        <sz val="11"/>
        <color theme="4"/>
        <rFont val="Aptos Narrow"/>
        <family val="2"/>
        <scheme val="minor"/>
      </rPr>
      <t>5. Fully Complete</t>
    </r>
    <r>
      <rPr>
        <sz val="11"/>
        <color theme="4"/>
        <rFont val="Aptos Narrow"/>
        <family val="2"/>
        <scheme val="minor"/>
      </rPr>
      <t xml:space="preserve"> - We have a Sliding Scale Architecture. Our software automatically detects the hardware capability. Today it runs 99% classical / 1% quantum. As qubits improve, it automatically shifts to 50% / 50%. We release value continuously without re-platforming.</t>
    </r>
  </si>
  <si>
    <r>
      <rPr>
        <b/>
        <sz val="11"/>
        <color theme="4"/>
        <rFont val="Aptos Narrow"/>
        <family val="2"/>
        <scheme val="minor"/>
      </rPr>
      <t xml:space="preserve">5. Fully Complete </t>
    </r>
    <r>
      <rPr>
        <sz val="11"/>
        <color theme="4"/>
        <rFont val="Aptos Narrow"/>
        <family val="2"/>
        <scheme val="minor"/>
      </rPr>
      <t>- We have a Crypto-Agile Pipeline. Our CI/CD pipeline automatically signs every quantum job with Post-Quantum Cryptography (PQC). If a new vulnerability is found in a PQC algorithm, we can swap it out globally in minutes.</t>
    </r>
  </si>
  <si>
    <t>Strategic Pillar</t>
  </si>
  <si>
    <t>Capability Domain</t>
  </si>
  <si>
    <t>Assessment Standard</t>
  </si>
  <si>
    <t>Business Impact / ROI</t>
  </si>
  <si>
    <t>Current Maturity State</t>
  </si>
  <si>
    <t>Readiness Score (0~2.5)</t>
  </si>
  <si>
    <t>Step 3: The Diagnostics</t>
  </si>
  <si>
    <t>LFI Quantum Readiness &amp; Risk Radar™ | Client User Guide</t>
  </si>
  <si>
    <t xml:space="preserve">2. Instructions for Assessment: </t>
  </si>
  <si>
    <t>Step 1: Calibration</t>
  </si>
  <si>
    <t>a. Review the 11 Capability Domains listed in the index (Rows 6–50).</t>
  </si>
  <si>
    <t>c. Select the description from the dropdown menu that best matches your organization's current reality.</t>
  </si>
  <si>
    <t>3. Reading the Dashboard</t>
  </si>
  <si>
    <t>4. Support &amp; Next Steps</t>
  </si>
  <si>
    <t>This assessment is the first step in the LFI Quantum Readiness Engagement.
*Score &lt; 50: Recommended immediate focus on PQC Readiness &amp; Crypto-Inventory.
*Score &gt; 70: Recommended focus on Use Case Heatmapping and Pilot Scaling.
For questions regarding specific metric definitions or to review your results with a Virtual Chief Quantum Officer (vCQO), please contact your LFI representative.</t>
  </si>
  <si>
    <r>
      <t xml:space="preserve">a. Navigate to the </t>
    </r>
    <r>
      <rPr>
        <b/>
        <sz val="12"/>
        <color theme="4"/>
        <rFont val="Aptos Narrow"/>
        <family val="2"/>
        <scheme val="minor"/>
      </rPr>
      <t>Quantum Readiness Index</t>
    </r>
    <r>
      <rPr>
        <sz val="12"/>
        <color theme="4"/>
        <rFont val="Aptos Narrow"/>
        <family val="2"/>
        <scheme val="minor"/>
      </rPr>
      <t xml:space="preserve"> tab.</t>
    </r>
  </si>
  <si>
    <r>
      <t xml:space="preserve">b. Ensure the </t>
    </r>
    <r>
      <rPr>
        <b/>
        <sz val="12"/>
        <color theme="4"/>
        <rFont val="Aptos Narrow"/>
        <family val="2"/>
        <scheme val="minor"/>
      </rPr>
      <t>Company Name</t>
    </r>
    <r>
      <rPr>
        <sz val="12"/>
        <color theme="4"/>
        <rFont val="Aptos Narrow"/>
        <family val="2"/>
        <scheme val="minor"/>
      </rPr>
      <t xml:space="preserve">, </t>
    </r>
    <r>
      <rPr>
        <b/>
        <sz val="12"/>
        <color theme="4"/>
        <rFont val="Aptos Narrow"/>
        <family val="2"/>
        <scheme val="minor"/>
      </rPr>
      <t>Date</t>
    </r>
    <r>
      <rPr>
        <sz val="12"/>
        <color theme="4"/>
        <rFont val="Aptos Narrow"/>
        <family val="2"/>
        <scheme val="minor"/>
      </rPr>
      <t xml:space="preserve">, and </t>
    </r>
    <r>
      <rPr>
        <b/>
        <sz val="12"/>
        <color theme="4"/>
        <rFont val="Aptos Narrow"/>
        <family val="2"/>
        <scheme val="minor"/>
      </rPr>
      <t>Accountable Executive</t>
    </r>
    <r>
      <rPr>
        <sz val="12"/>
        <color theme="4"/>
        <rFont val="Aptos Narrow"/>
        <family val="2"/>
        <scheme val="minor"/>
      </rPr>
      <t xml:space="preserve"> fields (Rows 1–3) are correct.</t>
    </r>
  </si>
  <si>
    <r>
      <t xml:space="preserve">b. For each domain, click the cell in the </t>
    </r>
    <r>
      <rPr>
        <b/>
        <sz val="12"/>
        <color theme="4"/>
        <rFont val="Aptos Narrow"/>
        <family val="2"/>
        <scheme val="minor"/>
      </rPr>
      <t>Current Maturity State</t>
    </r>
    <r>
      <rPr>
        <sz val="12"/>
        <color theme="4"/>
        <rFont val="Aptos Narrow"/>
        <family val="2"/>
        <scheme val="minor"/>
      </rPr>
      <t xml:space="preserve"> column (Column G).</t>
    </r>
  </si>
  <si>
    <r>
      <t xml:space="preserve">d. The </t>
    </r>
    <r>
      <rPr>
        <b/>
        <sz val="12"/>
        <color theme="4"/>
        <rFont val="Aptos Narrow"/>
        <family val="2"/>
        <scheme val="minor"/>
      </rPr>
      <t>Readiness Score</t>
    </r>
    <r>
      <rPr>
        <sz val="12"/>
        <color theme="4"/>
        <rFont val="Aptos Narrow"/>
        <family val="2"/>
        <scheme val="minor"/>
      </rPr>
      <t xml:space="preserve"> (Column H) will calculate automatically based on your selection.</t>
    </r>
  </si>
  <si>
    <r>
      <t xml:space="preserve">a. Once all 11 domains are complete, navigate to the </t>
    </r>
    <r>
      <rPr>
        <b/>
        <sz val="12"/>
        <color theme="4"/>
        <rFont val="Aptos Narrow"/>
        <family val="2"/>
        <scheme val="minor"/>
      </rPr>
      <t>Executive Summary</t>
    </r>
    <r>
      <rPr>
        <sz val="12"/>
        <color theme="4"/>
        <rFont val="Aptos Narrow"/>
        <family val="2"/>
        <scheme val="minor"/>
      </rPr>
      <t xml:space="preserve"> tab.</t>
    </r>
  </si>
  <si>
    <r>
      <t xml:space="preserve">b. This dashboard will auto-populate with your </t>
    </r>
    <r>
      <rPr>
        <b/>
        <sz val="12"/>
        <color theme="4"/>
        <rFont val="Aptos Narrow"/>
        <family val="2"/>
        <scheme val="minor"/>
      </rPr>
      <t>Weighted Readiness Score</t>
    </r>
    <r>
      <rPr>
        <sz val="12"/>
        <color theme="4"/>
        <rFont val="Aptos Narrow"/>
        <family val="2"/>
        <scheme val="minor"/>
      </rPr>
      <t xml:space="preserve"> and visual risk profiles.</t>
    </r>
  </si>
  <si>
    <r>
      <rPr>
        <b/>
        <sz val="12"/>
        <color theme="4"/>
        <rFont val="Aptos Narrow"/>
        <family val="2"/>
        <scheme val="minor"/>
      </rPr>
      <t>1. Overview Welcome to the LFI Quantum Readiness &amp; Risk Radar™.</t>
    </r>
    <r>
      <rPr>
        <sz val="12"/>
        <color theme="4"/>
        <rFont val="Aptos Narrow"/>
        <family val="2"/>
        <scheme val="minor"/>
      </rPr>
      <t xml:space="preserve"> This diagnostic instrument is designed to quantify your organization’s exposure to quantum threats and your potential to capture commercial value.
Unlike standard maturity models, this tool utilizes the LFI QRAMM Framework (Quantum Risk Assessment &amp; Maturity Model) to benchmark your capabilities against the 2025 Industry Standard. It separates 'hype' from 'readiness' by auditing your Data Infrastructure, Workforce Maturity, and Strategic Alignment.</t>
    </r>
  </si>
  <si>
    <r>
      <rPr>
        <b/>
        <sz val="12"/>
        <color theme="4"/>
        <rFont val="Aptos Narrow"/>
        <family val="2"/>
        <scheme val="minor"/>
      </rPr>
      <t xml:space="preserve">a. The Weighted Readiness Score </t>
    </r>
    <r>
      <rPr>
        <sz val="12"/>
        <color theme="4"/>
        <rFont val="Aptos Narrow"/>
        <family val="2"/>
        <scheme val="minor"/>
      </rPr>
      <t xml:space="preserve">(0–100) Your total score is not a simple average. It uses the LFI Weighted Standard, which prioritizes operational execution over theoretical strategy:
*Operations (57% Weight): The Execution Engine. (Talent, Governance, Budgeting).
*Technology (29% Weight): The Technical Foundation. (DevSecOps, Orchestration).
* Strategy (14% Weight): The Vision. (Use Cases, Forecasting).
</t>
    </r>
    <r>
      <rPr>
        <b/>
        <sz val="12"/>
        <color theme="4"/>
        <rFont val="Aptos Narrow"/>
        <family val="2"/>
        <scheme val="minor"/>
      </rPr>
      <t>b. The Maturity Stages The dashboard classifies your organization into one of five maturity stages based on your Weighted Readiness Score. This label defines your current operational reality:</t>
    </r>
    <r>
      <rPr>
        <sz val="12"/>
        <color theme="4"/>
        <rFont val="Aptos Narrow"/>
        <family val="2"/>
        <scheme val="minor"/>
      </rPr>
      <t xml:space="preserve">
</t>
    </r>
    <r>
      <rPr>
        <b/>
        <sz val="12"/>
        <color theme="4"/>
        <rFont val="Aptos Narrow"/>
        <family val="2"/>
        <scheme val="minor"/>
      </rPr>
      <t>*The Ostrich (Score 0–30): Passive.</t>
    </r>
    <r>
      <rPr>
        <sz val="12"/>
        <color theme="4"/>
        <rFont val="Aptos Narrow"/>
        <family val="2"/>
        <scheme val="minor"/>
      </rPr>
      <t xml:space="preserve"> The organization is largely ignoring quantum developments. Risks (HNDL) are unmitigated, and competitors are likely building an intellectual property moat around key use cases.
</t>
    </r>
    <r>
      <rPr>
        <b/>
        <sz val="12"/>
        <color theme="4"/>
        <rFont val="Aptos Narrow"/>
        <family val="2"/>
        <scheme val="minor"/>
      </rPr>
      <t>*The Tourist (Score 30–50): Evaluating.</t>
    </r>
    <r>
      <rPr>
        <sz val="12"/>
        <color theme="4"/>
        <rFont val="Aptos Narrow"/>
        <family val="2"/>
        <scheme val="minor"/>
      </rPr>
      <t xml:space="preserve"> The organization is 'just looking'. You are consuming analyst reports and attending conferences, but have not committed capital or resources to validate specific value hypotheses.
</t>
    </r>
    <r>
      <rPr>
        <b/>
        <sz val="12"/>
        <color theme="4"/>
        <rFont val="Aptos Narrow"/>
        <family val="2"/>
        <scheme val="minor"/>
      </rPr>
      <t xml:space="preserve">*The Pilot Trap (Score 50–70): Experimenting. </t>
    </r>
    <r>
      <rPr>
        <sz val="12"/>
        <color theme="4"/>
        <rFont val="Aptos Narrow"/>
        <family val="2"/>
        <scheme val="minor"/>
      </rPr>
      <t xml:space="preserve">Critical Zone. You are running isolated Proofs of Concept (PoCs) that succeed technically but fail to deliver business value. Investment is often stuck in 'Innovation Theater' without a path to production.
</t>
    </r>
    <r>
      <rPr>
        <b/>
        <sz val="12"/>
        <color theme="4"/>
        <rFont val="Aptos Narrow"/>
        <family val="2"/>
        <scheme val="minor"/>
      </rPr>
      <t>*The Scaler (Score 70–85): Operationalizing.</t>
    </r>
    <r>
      <rPr>
        <sz val="12"/>
        <color theme="4"/>
        <rFont val="Aptos Narrow"/>
        <family val="2"/>
        <scheme val="minor"/>
      </rPr>
      <t xml:space="preserve"> The organization has moved beyond pilots. Quantum teams are embedded in business units, governance is active, and hybrid workflows are being integrated into the production IT stack.
</t>
    </r>
    <r>
      <rPr>
        <b/>
        <sz val="12"/>
        <color theme="4"/>
        <rFont val="Aptos Narrow"/>
        <family val="2"/>
        <scheme val="minor"/>
      </rPr>
      <t>*The Leader (Score 85–100): Dominating.</t>
    </r>
    <r>
      <rPr>
        <sz val="12"/>
        <color theme="4"/>
        <rFont val="Aptos Narrow"/>
        <family val="2"/>
        <scheme val="minor"/>
      </rPr>
      <t xml:space="preserve"> Quantum readiness is a competitive advantage. The organization has achieved 'Crypto-Agility' for defense and is actively deploying heuristic solvers to outperform classical competitors in speed and/or cost.
</t>
    </r>
    <r>
      <rPr>
        <b/>
        <sz val="12"/>
        <color theme="4"/>
        <rFont val="Aptos Narrow"/>
        <family val="2"/>
        <scheme val="minor"/>
      </rPr>
      <t>C. The Two Risk Radars</t>
    </r>
    <r>
      <rPr>
        <sz val="12"/>
        <color theme="4"/>
        <rFont val="Aptos Narrow"/>
        <family val="2"/>
        <scheme val="minor"/>
      </rPr>
      <t xml:space="preserve">
a. The Threat Radar (Red): Measures your vulnerability to "Harvest Now, Decrypt Later" (HNDL) attacks and IP leakage.
Goal: A full radar (100) indicates a "Crypto-Agile" defense posture.
b. The Opportunity Radar (Teal): Measures your ability to capture commercial ROI from "Complexity Walls" (NP-Hard problems).
Goal: A full radar (100) indicates you are deploying solvers that outperform classical alternatives.</t>
    </r>
  </si>
  <si>
    <t>Step 2: The Assessment (The Audit)</t>
  </si>
  <si>
    <r>
      <t>Note:</t>
    </r>
    <r>
      <rPr>
        <sz val="12"/>
        <color theme="4"/>
        <rFont val="Aptos Narrow"/>
        <family val="2"/>
        <scheme val="minor"/>
      </rPr>
      <t xml:space="preserve"> Be honest. Selecting 'Evaluating' when you are truly 'Not Considering' will skew your Risk Radar and mask potential vulnerabilities.</t>
    </r>
  </si>
  <si>
    <t>Accountable Executive:</t>
  </si>
  <si>
    <t>2. Evaluating / Planning - We are discussing the need for a CoE. We are identifying which experts should belong to it, but currently, they sit in isolated silos (e.g., IT vs. R&amp;D).</t>
  </si>
  <si>
    <t>Weighted Readiness Score (0~100)</t>
  </si>
  <si>
    <t>4. Mostly Complete - We have a solid forecast for our key sectors. The model exists and informs strategy, but it may lack real-time updates or full executive buy-in</t>
  </si>
  <si>
    <t>1. Not Considering / Not Started - We do not assess the quantum startup landscape. We generally wait for established tech giants (e.g., IBM, Google) to provide solutions.</t>
  </si>
  <si>
    <t>1. Not Considering / Not Started - We do not view M&amp;A as a lever for quantum readiness. We assume we will build all capabilities internally or rent them as a service.</t>
  </si>
  <si>
    <t>1. Not Considering / Not Started - We do not distinguish between classical and quantum use cases. We assume all our computational problems are best solved by classical HPC.</t>
  </si>
  <si>
    <t>1. Not Considering / Not Started - We have no timeline for when quantum computing will deliver value. We view it as "futuristic" R&amp;D with an undefined horizon.</t>
  </si>
  <si>
    <t>1. Not Considering / Not Started - We have not explored any quantum use cases. We have no active experiments or pilots running.</t>
  </si>
  <si>
    <t>1. Not Considering / Not Started - We accept standard vendor terms. We have not reviewed IP ownership clauses in our cloud access or consulting contracts.</t>
  </si>
  <si>
    <t>1. Not Considering / Not Started - We have no model for IP classification. We treat all innovation the same, usually by ignoring it or letting the individual researcher decide.</t>
  </si>
  <si>
    <t>1. Not Considering / Not Started - We have no process for capturing inventions. We rely on researchers to self-identify if they have created something valuable.</t>
  </si>
  <si>
    <t>1. Not Considering / Not Started - We view our quantum work solely for internal use. We have no intention or mechanism to license our discoveries to third parties.</t>
  </si>
  <si>
    <t>1. Not Considering / Not Started - We operate in stealth mode or isolation. We do not engage with other players in the quantum ecosystem.</t>
  </si>
  <si>
    <t>3. Experimenting / In Progress - We are conducting a "Gap Analysis." We are testing if our current pilots can be ported to a standard format (e.g., OpenQASM) or if they break.</t>
  </si>
  <si>
    <t>2. Evaluating / Planning - We are monitoring regulatory news (e.g., export controls on QPU hardware). We are internalizing the guidelines but have not reached out to agencies.</t>
  </si>
  <si>
    <t>Current Maturity State:</t>
  </si>
  <si>
    <t>3. Experimenting / In Progress - We have a formal project underway to identify use cases. We are actively assessing specific pain points against quantum modalities.</t>
  </si>
  <si>
    <t>4. Mostly Complete - We have a structured monitoring process. We track key indices (investment, hardware specs, patents) and distribute regular updates to stakeholders.</t>
  </si>
  <si>
    <t>PILLAR 4: FINANCIAL IMPACT (The "Cost")</t>
  </si>
  <si>
    <t>L. Efficiency Valuation</t>
  </si>
  <si>
    <t>L.46: Operational Bleed</t>
  </si>
  <si>
    <t>We convert "operational headaches" into a hard dollar figure (The Cost of Stagnation) to justify immediate investment.</t>
  </si>
  <si>
    <t>What is the estimated annual revenue lost to "unsolvable" operational friction (e.g., stockouts, unplanned downtime, yield loss)?</t>
  </si>
  <si>
    <t>L. 47: Waste &amp; Scrap</t>
  </si>
  <si>
    <t>What is your current annual Scrap Rate (as a % of COGS) or "Giveaway" (over-spec production)?</t>
  </si>
  <si>
    <t>We identify the "invisible margin" that quantum-enabled optimization can reclaim from your production floor.</t>
  </si>
  <si>
    <t>M. Sovereignty Valuation</t>
  </si>
  <si>
    <t>M. 48: IP Valuation</t>
  </si>
  <si>
    <t>What is the estimated valuation of your "Crown Jewel" trade secrets (e.g., formulas, proprietary alloys, algorithms)?</t>
  </si>
  <si>
    <t>Value: We quantify the "Termination Event" risk: the financial impact if your core IP were decrypted by a competitor tomorrow.</t>
  </si>
  <si>
    <t>M. 49: Data Shelf Life</t>
  </si>
  <si>
    <t>How many years must this data remain secret to retain its competitive value (e.g., 5, 10, 20 years)?</t>
  </si>
  <si>
    <t>We determine your "Harvest Now, Decrypt Later" risk window. If Shelf Life &gt; 5 years, you are already in the danger zone.</t>
  </si>
  <si>
    <t>Annual Revenue</t>
  </si>
  <si>
    <t>A. Unmet Demand Loss</t>
  </si>
  <si>
    <t>Est. % Revenue Lost to Stockouts/Downtime</t>
  </si>
  <si>
    <t>Revenue at Risk (A)</t>
  </si>
  <si>
    <t>B. Production Waste</t>
  </si>
  <si>
    <t>Annual Cost of Goods Sold (COGS)</t>
  </si>
  <si>
    <t>Current Scrap / Yield Loss Rate (%)</t>
  </si>
  <si>
    <t>Cash Burned on Waste (B)</t>
  </si>
  <si>
    <t>TOTAL COST OF STAGNATION (A + B)</t>
  </si>
  <si>
    <t>Table 1: The Cost of Stagnation (Efficiency Risk)</t>
  </si>
  <si>
    <t>Value</t>
  </si>
  <si>
    <t>Use this to calculate the immediate "Money on the Table."</t>
  </si>
  <si>
    <t>Table 2: The Cost of Sovereignty (Security Risk)</t>
  </si>
  <si>
    <t>Use this to calculate the long-term "Existential Threat."</t>
  </si>
  <si>
    <t>C. Intellectual Property Exposure</t>
  </si>
  <si>
    <t>Value of Top 5 Trade Secrets / R&amp;D Assets</t>
  </si>
  <si>
    <t>Data Shelf Life (Years)</t>
  </si>
  <si>
    <t>Quantum Risk Horizon (Years to Q-Day)</t>
  </si>
  <si>
    <t>HNDL Risk Status</t>
  </si>
  <si>
    <t>TOTAL SOVEREIGNTY VALUE AT RISK</t>
  </si>
  <si>
    <t>This is the asset value exposed to immediate harvesting.</t>
  </si>
  <si>
    <r>
      <t>Deliver the Verdict:</t>
    </r>
    <r>
      <rPr>
        <sz val="11"/>
        <color theme="1"/>
        <rFont val="Aptos Narrow"/>
        <family val="2"/>
        <scheme val="minor"/>
      </rPr>
      <t xml:space="preserve"> "Mr. CEO, our audit shows a Readiness Score of 2.5/5, but more importantly, it identifies </t>
    </r>
    <r>
      <rPr>
        <b/>
        <sz val="11"/>
        <color theme="1"/>
        <rFont val="Aptos Narrow"/>
        <family val="2"/>
        <scheme val="minor"/>
      </rPr>
      <t>$29M in annual efficiency losses</t>
    </r>
    <r>
      <rPr>
        <sz val="11"/>
        <color theme="1"/>
        <rFont val="Aptos Narrow"/>
        <family val="2"/>
        <scheme val="minor"/>
      </rPr>
      <t xml:space="preserve"> and </t>
    </r>
    <r>
      <rPr>
        <b/>
        <sz val="11"/>
        <color theme="1"/>
        <rFont val="Aptos Narrow"/>
        <family val="2"/>
        <scheme val="minor"/>
      </rPr>
      <t>$100M in IP exposure</t>
    </r>
    <r>
      <rPr>
        <sz val="11"/>
        <color theme="1"/>
        <rFont val="Aptos Narrow"/>
        <family val="2"/>
        <scheme val="minor"/>
      </rPr>
      <t>. The proposed $250k Pilot is just 0.8% of the efficiency loss you are accepting this year."</t>
    </r>
  </si>
  <si>
    <t>PILLAR 1: STRATEGY</t>
  </si>
  <si>
    <t>PILLAR 2: TECHNOLOGY</t>
  </si>
  <si>
    <t>PILLAR 3: OPERATIONS</t>
  </si>
  <si>
    <t>We prevent Vendor Lock-in. We ensure your code is portable and not hard-coded to a single machine.</t>
  </si>
  <si>
    <t>We build your Internal Training Academy. We institutionalize knowledge so it doesn't leave when an employee departs the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</si>
</sst>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
  </numFmts>
  <fonts count="22" x14ac:knownFonts="1">
    <font>
      <sz val="11"/>
      <color theme="1"/>
      <name val="Aptos Narrow"/>
      <family val="2"/>
      <scheme val="minor"/>
    </font>
    <font>
      <b/>
      <sz val="11"/>
      <color theme="1"/>
      <name val="Aptos Narrow"/>
      <family val="2"/>
      <scheme val="minor"/>
    </font>
    <font>
      <sz val="14"/>
      <color theme="1"/>
      <name val="Aptos Narrow"/>
      <family val="2"/>
      <scheme val="minor"/>
    </font>
    <font>
      <b/>
      <sz val="16"/>
      <color rgb="FF0070C0"/>
      <name val="Aptos Narrow"/>
      <family val="2"/>
      <scheme val="minor"/>
    </font>
    <font>
      <sz val="14"/>
      <color theme="0"/>
      <name val="Aptos Narrow"/>
      <family val="2"/>
      <scheme val="minor"/>
    </font>
    <font>
      <b/>
      <sz val="14"/>
      <color theme="8"/>
      <name val="Aptos Narrow"/>
      <family val="2"/>
      <scheme val="minor"/>
    </font>
    <font>
      <b/>
      <sz val="14"/>
      <color theme="7"/>
      <name val="Aptos Narrow"/>
      <family val="2"/>
      <scheme val="minor"/>
    </font>
    <font>
      <b/>
      <sz val="14"/>
      <color theme="6"/>
      <name val="Aptos Narrow"/>
      <family val="2"/>
      <scheme val="minor"/>
    </font>
    <font>
      <b/>
      <sz val="14"/>
      <color theme="4"/>
      <name val="Aptos Narrow"/>
      <family val="2"/>
      <scheme val="minor"/>
    </font>
    <font>
      <sz val="14"/>
      <color theme="4"/>
      <name val="Aptos Narrow"/>
      <family val="2"/>
      <scheme val="minor"/>
    </font>
    <font>
      <b/>
      <sz val="16"/>
      <color theme="4"/>
      <name val="Aptos Narrow"/>
      <family val="2"/>
      <scheme val="minor"/>
    </font>
    <font>
      <b/>
      <sz val="12"/>
      <color theme="4"/>
      <name val="Aptos Narrow"/>
      <family val="2"/>
      <scheme val="minor"/>
    </font>
    <font>
      <sz val="11"/>
      <color theme="4"/>
      <name val="Aptos Narrow"/>
      <family val="2"/>
      <scheme val="minor"/>
    </font>
    <font>
      <sz val="12"/>
      <color theme="4"/>
      <name val="Aptos Narrow"/>
      <family val="2"/>
      <scheme val="minor"/>
    </font>
    <font>
      <i/>
      <sz val="12"/>
      <color theme="4"/>
      <name val="Aptos Narrow"/>
      <family val="2"/>
      <scheme val="minor"/>
    </font>
    <font>
      <b/>
      <sz val="14"/>
      <color theme="0"/>
      <name val="Aptos Narrow"/>
      <family val="2"/>
      <scheme val="minor"/>
    </font>
    <font>
      <b/>
      <sz val="14"/>
      <color rgb="FFFF0000"/>
      <name val="Aptos Narrow"/>
      <family val="2"/>
      <scheme val="minor"/>
    </font>
    <font>
      <b/>
      <sz val="11"/>
      <color theme="4"/>
      <name val="Aptos Narrow"/>
      <family val="2"/>
      <scheme val="minor"/>
    </font>
    <font>
      <b/>
      <i/>
      <sz val="14"/>
      <color theme="4"/>
      <name val="Aptos Narrow"/>
      <family val="2"/>
      <scheme val="minor"/>
    </font>
    <font>
      <b/>
      <i/>
      <sz val="11"/>
      <color theme="4"/>
      <name val="Aptos Narrow"/>
      <family val="2"/>
      <scheme val="minor"/>
    </font>
    <font>
      <i/>
      <sz val="11"/>
      <color theme="1"/>
      <name val="Aptos Narrow"/>
      <family val="2"/>
      <scheme val="minor"/>
    </font>
    <font>
      <b/>
      <sz val="14"/>
      <color theme="1"/>
      <name val="Aptos Narrow"/>
      <family val="2"/>
      <scheme val="minor"/>
    </font>
  </fonts>
  <fills count="8">
    <fill>
      <patternFill patternType="none"/>
    </fill>
    <fill>
      <patternFill patternType="gray125"/>
    </fill>
    <fill>
      <patternFill patternType="solid">
        <fgColor theme="8"/>
        <bgColor indexed="64"/>
      </patternFill>
    </fill>
    <fill>
      <patternFill patternType="solid">
        <fgColor theme="7"/>
        <bgColor indexed="64"/>
      </patternFill>
    </fill>
    <fill>
      <patternFill patternType="solid">
        <fgColor theme="6"/>
        <bgColor indexed="64"/>
      </patternFill>
    </fill>
    <fill>
      <patternFill patternType="solid">
        <fgColor theme="4"/>
        <bgColor indexed="64"/>
      </patternFill>
    </fill>
    <fill>
      <patternFill patternType="solid">
        <fgColor rgb="FFFF0000"/>
        <bgColor indexed="64"/>
      </patternFill>
    </fill>
    <fill>
      <patternFill patternType="solid">
        <fgColor rgb="FF00B0F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style="thin">
        <color indexed="64"/>
      </top>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25">
    <xf numFmtId="0" fontId="0" fillId="0" borderId="0" xfId="0"/>
    <xf numFmtId="0" fontId="1" fillId="0" borderId="0" xfId="0" applyFont="1" applyAlignment="1">
      <alignment horizontal="center"/>
    </xf>
    <xf numFmtId="0" fontId="2" fillId="0" borderId="0" xfId="0" applyFont="1"/>
    <xf numFmtId="2" fontId="2" fillId="0" borderId="0" xfId="0" applyNumberFormat="1" applyFont="1"/>
    <xf numFmtId="0" fontId="3" fillId="0" borderId="0" xfId="0" applyFont="1"/>
    <xf numFmtId="2" fontId="3" fillId="0" borderId="0" xfId="0" applyNumberFormat="1" applyFont="1"/>
    <xf numFmtId="0" fontId="5" fillId="0" borderId="0" xfId="0" applyFont="1"/>
    <xf numFmtId="0" fontId="4" fillId="2" borderId="0" xfId="0" applyFont="1" applyFill="1"/>
    <xf numFmtId="0" fontId="6" fillId="0" borderId="0" xfId="0" applyFont="1"/>
    <xf numFmtId="0" fontId="4" fillId="3" borderId="0" xfId="0" applyFont="1" applyFill="1"/>
    <xf numFmtId="0" fontId="4" fillId="4" borderId="0" xfId="0" applyFont="1" applyFill="1"/>
    <xf numFmtId="0" fontId="7" fillId="0" borderId="0" xfId="0" applyFont="1"/>
    <xf numFmtId="0" fontId="8" fillId="0" borderId="0" xfId="0" applyFont="1"/>
    <xf numFmtId="2" fontId="9" fillId="0" borderId="0" xfId="0" applyNumberFormat="1" applyFont="1"/>
    <xf numFmtId="0" fontId="4" fillId="4" borderId="0" xfId="0" applyFont="1" applyFill="1" applyAlignment="1">
      <alignment horizontal="left"/>
    </xf>
    <xf numFmtId="0" fontId="10" fillId="0" borderId="0" xfId="0" applyFont="1"/>
    <xf numFmtId="0" fontId="7" fillId="0" borderId="1" xfId="0" applyFont="1" applyBorder="1"/>
    <xf numFmtId="0" fontId="5" fillId="0" borderId="1" xfId="0" applyFont="1" applyBorder="1"/>
    <xf numFmtId="0" fontId="11" fillId="0" borderId="0" xfId="0" applyFont="1"/>
    <xf numFmtId="0" fontId="12" fillId="0" borderId="0" xfId="0" applyFont="1"/>
    <xf numFmtId="49" fontId="11" fillId="0" borderId="0" xfId="0" applyNumberFormat="1" applyFont="1"/>
    <xf numFmtId="49" fontId="9" fillId="0" borderId="0" xfId="0" applyNumberFormat="1" applyFont="1"/>
    <xf numFmtId="49" fontId="12" fillId="0" borderId="0" xfId="0" applyNumberFormat="1" applyFont="1"/>
    <xf numFmtId="49" fontId="11" fillId="0" borderId="0" xfId="0" applyNumberFormat="1" applyFont="1" applyAlignment="1">
      <alignment horizontal="left" vertical="center" indent="1"/>
    </xf>
    <xf numFmtId="0" fontId="8" fillId="0" borderId="2" xfId="0" applyFont="1" applyBorder="1"/>
    <xf numFmtId="0" fontId="6" fillId="0" borderId="3" xfId="0" applyFont="1" applyBorder="1"/>
    <xf numFmtId="0" fontId="15" fillId="5" borderId="1" xfId="0" applyFont="1" applyFill="1" applyBorder="1" applyAlignment="1">
      <alignment horizontal="center"/>
    </xf>
    <xf numFmtId="2" fontId="15" fillId="5" borderId="1" xfId="0" applyNumberFormat="1" applyFont="1" applyFill="1" applyBorder="1" applyAlignment="1">
      <alignment horizontal="center"/>
    </xf>
    <xf numFmtId="0" fontId="9" fillId="0" borderId="0" xfId="0" applyFont="1"/>
    <xf numFmtId="0" fontId="13" fillId="0" borderId="0" xfId="0" applyFont="1"/>
    <xf numFmtId="0" fontId="4" fillId="6" borderId="0" xfId="0" applyFont="1" applyFill="1"/>
    <xf numFmtId="0" fontId="16" fillId="0" borderId="0" xfId="0" applyFont="1"/>
    <xf numFmtId="0" fontId="4" fillId="5" borderId="0" xfId="0" applyFont="1" applyFill="1"/>
    <xf numFmtId="0" fontId="12" fillId="0" borderId="0" xfId="0" applyFont="1" applyAlignment="1">
      <alignment wrapText="1"/>
    </xf>
    <xf numFmtId="0" fontId="12" fillId="0" borderId="0" xfId="0" applyFont="1" applyAlignment="1">
      <alignment horizontal="center"/>
    </xf>
    <xf numFmtId="0" fontId="11" fillId="0" borderId="0" xfId="0" applyFont="1" applyAlignment="1">
      <alignment wrapText="1"/>
    </xf>
    <xf numFmtId="164" fontId="11" fillId="0" borderId="0" xfId="0" applyNumberFormat="1" applyFont="1"/>
    <xf numFmtId="164" fontId="12" fillId="0" borderId="0" xfId="0" applyNumberFormat="1" applyFont="1"/>
    <xf numFmtId="0" fontId="8" fillId="0" borderId="0" xfId="0" applyFont="1" applyAlignment="1">
      <alignment horizontal="right"/>
    </xf>
    <xf numFmtId="0" fontId="8" fillId="0" borderId="0" xfId="0" applyFont="1" applyAlignment="1">
      <alignment horizontal="center"/>
    </xf>
    <xf numFmtId="0" fontId="12" fillId="0" borderId="1" xfId="0" applyFont="1" applyBorder="1" applyAlignment="1">
      <alignment wrapText="1"/>
    </xf>
    <xf numFmtId="0" fontId="12" fillId="0" borderId="1" xfId="0" applyFont="1" applyBorder="1" applyAlignment="1">
      <alignment horizontal="center"/>
    </xf>
    <xf numFmtId="0" fontId="9" fillId="0" borderId="0" xfId="0" applyFont="1" applyAlignment="1">
      <alignment horizontal="center" vertical="center"/>
    </xf>
    <xf numFmtId="0" fontId="12" fillId="0" borderId="0" xfId="0" applyFont="1" applyAlignment="1">
      <alignment horizontal="center" vertical="center"/>
    </xf>
    <xf numFmtId="0" fontId="8" fillId="0" borderId="0" xfId="0" applyFont="1" applyAlignment="1">
      <alignment horizontal="left"/>
    </xf>
    <xf numFmtId="0" fontId="12" fillId="0" borderId="0" xfId="0" applyFont="1" applyAlignment="1">
      <alignment horizontal="left"/>
    </xf>
    <xf numFmtId="0" fontId="12" fillId="0" borderId="1" xfId="0" applyFont="1" applyBorder="1" applyAlignment="1">
      <alignment horizontal="left"/>
    </xf>
    <xf numFmtId="0" fontId="19" fillId="0" borderId="0" xfId="0" applyFont="1" applyAlignment="1">
      <alignment vertical="top" wrapText="1"/>
    </xf>
    <xf numFmtId="0" fontId="19" fillId="0" borderId="1" xfId="0" applyFont="1" applyBorder="1" applyAlignment="1" applyProtection="1">
      <alignment vertical="top" wrapText="1"/>
      <protection locked="0"/>
    </xf>
    <xf numFmtId="49" fontId="10" fillId="0" borderId="0" xfId="0" applyNumberFormat="1" applyFont="1" applyAlignment="1">
      <alignment wrapText="1"/>
    </xf>
    <xf numFmtId="49" fontId="13" fillId="0" borderId="0" xfId="0" applyNumberFormat="1" applyFont="1" applyAlignment="1">
      <alignment wrapText="1"/>
    </xf>
    <xf numFmtId="49" fontId="13" fillId="0" borderId="0" xfId="0" applyNumberFormat="1" applyFont="1"/>
    <xf numFmtId="49" fontId="13" fillId="0" borderId="0" xfId="0" applyNumberFormat="1" applyFont="1" applyAlignment="1">
      <alignment horizontal="left" vertical="center" wrapText="1"/>
    </xf>
    <xf numFmtId="0" fontId="13" fillId="0" borderId="0" xfId="0" applyFont="1" applyAlignment="1">
      <alignment horizontal="left" vertical="center" indent="1"/>
    </xf>
    <xf numFmtId="0" fontId="13" fillId="0" borderId="0" xfId="0" applyFont="1" applyAlignment="1">
      <alignment horizontal="left" vertical="center" indent="2"/>
    </xf>
    <xf numFmtId="0" fontId="14" fillId="0" borderId="0" xfId="0" applyFont="1" applyAlignment="1">
      <alignment horizontal="left" vertical="center" indent="2"/>
    </xf>
    <xf numFmtId="0" fontId="11" fillId="0" borderId="0" xfId="0" applyFont="1" applyAlignment="1">
      <alignment horizontal="left" vertical="center" wrapText="1"/>
    </xf>
    <xf numFmtId="0" fontId="13" fillId="0" borderId="0" xfId="0" applyFont="1" applyAlignment="1">
      <alignment horizontal="left" vertical="center" wrapText="1"/>
    </xf>
    <xf numFmtId="49" fontId="8" fillId="0" borderId="0" xfId="0" applyNumberFormat="1" applyFont="1" applyAlignment="1">
      <alignment horizontal="left" vertical="center" wrapText="1"/>
    </xf>
    <xf numFmtId="14" fontId="9" fillId="0" borderId="0" xfId="0" applyNumberFormat="1" applyFont="1" applyAlignment="1" applyProtection="1">
      <alignment wrapText="1"/>
      <protection locked="0"/>
    </xf>
    <xf numFmtId="49" fontId="9" fillId="0" borderId="0" xfId="0" applyNumberFormat="1" applyFont="1" applyAlignment="1" applyProtection="1">
      <alignment horizontal="center"/>
      <protection locked="0"/>
    </xf>
    <xf numFmtId="49" fontId="18" fillId="0" borderId="0" xfId="0" applyNumberFormat="1" applyFont="1" applyAlignment="1" applyProtection="1">
      <alignment vertical="top" wrapText="1"/>
      <protection locked="0"/>
    </xf>
    <xf numFmtId="1" fontId="7" fillId="0" borderId="1" xfId="0" applyNumberFormat="1" applyFont="1" applyBorder="1"/>
    <xf numFmtId="1" fontId="5" fillId="0" borderId="1" xfId="0" applyNumberFormat="1" applyFont="1" applyBorder="1"/>
    <xf numFmtId="1" fontId="6" fillId="0" borderId="3" xfId="0" applyNumberFormat="1" applyFont="1" applyBorder="1"/>
    <xf numFmtId="1" fontId="8" fillId="0" borderId="2" xfId="0" applyNumberFormat="1" applyFont="1" applyBorder="1"/>
    <xf numFmtId="1" fontId="4" fillId="4" borderId="0" xfId="0" applyNumberFormat="1" applyFont="1" applyFill="1"/>
    <xf numFmtId="1" fontId="2" fillId="0" borderId="0" xfId="0" applyNumberFormat="1" applyFont="1"/>
    <xf numFmtId="1" fontId="4" fillId="2" borderId="0" xfId="0" applyNumberFormat="1" applyFont="1" applyFill="1"/>
    <xf numFmtId="1" fontId="4" fillId="3" borderId="0" xfId="0" applyNumberFormat="1" applyFont="1" applyFill="1"/>
    <xf numFmtId="1" fontId="4" fillId="6" borderId="0" xfId="0" applyNumberFormat="1" applyFont="1" applyFill="1"/>
    <xf numFmtId="1" fontId="4" fillId="5" borderId="0" xfId="0" applyNumberFormat="1" applyFont="1" applyFill="1"/>
    <xf numFmtId="2" fontId="8" fillId="0" borderId="0" xfId="0" applyNumberFormat="1" applyFont="1" applyAlignment="1">
      <alignment horizontal="center"/>
    </xf>
    <xf numFmtId="0" fontId="12" fillId="0" borderId="3" xfId="0" applyFont="1" applyBorder="1" applyAlignment="1">
      <alignment horizontal="center"/>
    </xf>
    <xf numFmtId="0" fontId="12" fillId="0" borderId="3" xfId="0" applyFont="1" applyBorder="1" applyAlignment="1">
      <alignment horizontal="left"/>
    </xf>
    <xf numFmtId="0" fontId="12" fillId="0" borderId="3" xfId="0" applyFont="1" applyBorder="1" applyAlignment="1">
      <alignment wrapText="1"/>
    </xf>
    <xf numFmtId="0" fontId="19" fillId="0" borderId="3" xfId="0" applyFont="1" applyBorder="1" applyAlignment="1" applyProtection="1">
      <alignment vertical="top" wrapText="1"/>
      <protection locked="0"/>
    </xf>
    <xf numFmtId="0" fontId="1" fillId="0" borderId="0" xfId="0" applyFont="1"/>
    <xf numFmtId="0" fontId="0" fillId="0" borderId="0" xfId="0" applyAlignment="1">
      <alignment wrapText="1"/>
    </xf>
    <xf numFmtId="0" fontId="1" fillId="0" borderId="0" xfId="0" applyFont="1" applyAlignment="1">
      <alignment wrapText="1"/>
    </xf>
    <xf numFmtId="0" fontId="20" fillId="0" borderId="0" xfId="0" applyFont="1"/>
    <xf numFmtId="0" fontId="21" fillId="0" borderId="0" xfId="0" applyFont="1"/>
    <xf numFmtId="0" fontId="21" fillId="0" borderId="0" xfId="0" applyFont="1" applyAlignment="1">
      <alignment wrapText="1"/>
    </xf>
    <xf numFmtId="0" fontId="1" fillId="0" borderId="0" xfId="0" applyFont="1" applyAlignment="1">
      <alignment horizontal="center" wrapText="1"/>
    </xf>
    <xf numFmtId="0" fontId="1" fillId="0" borderId="0" xfId="0" applyFont="1" applyAlignment="1">
      <alignment horizontal="left"/>
    </xf>
    <xf numFmtId="165" fontId="2" fillId="0" borderId="0" xfId="0" applyNumberFormat="1" applyFont="1"/>
    <xf numFmtId="165" fontId="0" fillId="0" borderId="0" xfId="0" applyNumberFormat="1"/>
    <xf numFmtId="165" fontId="0" fillId="7" borderId="0" xfId="0" applyNumberFormat="1" applyFill="1"/>
    <xf numFmtId="9" fontId="0" fillId="7" borderId="0" xfId="0" applyNumberFormat="1" applyFill="1"/>
    <xf numFmtId="165" fontId="0" fillId="7" borderId="0" xfId="0" applyNumberFormat="1" applyFill="1" applyAlignment="1">
      <alignment horizontal="right"/>
    </xf>
    <xf numFmtId="165" fontId="1" fillId="0" borderId="0" xfId="0" applyNumberFormat="1" applyFont="1"/>
    <xf numFmtId="165" fontId="1" fillId="0" borderId="0" xfId="0" applyNumberFormat="1" applyFont="1" applyAlignment="1">
      <alignment horizontal="center"/>
    </xf>
    <xf numFmtId="3" fontId="0" fillId="7" borderId="0" xfId="0" applyNumberFormat="1" applyFill="1"/>
    <xf numFmtId="3" fontId="21" fillId="0" borderId="0" xfId="0" applyNumberFormat="1" applyFont="1"/>
    <xf numFmtId="3" fontId="0" fillId="0" borderId="0" xfId="0" applyNumberFormat="1"/>
    <xf numFmtId="3" fontId="1" fillId="0" borderId="0" xfId="0" applyNumberFormat="1" applyFont="1" applyAlignment="1">
      <alignment horizontal="center"/>
    </xf>
    <xf numFmtId="3" fontId="1" fillId="0" borderId="0" xfId="0" applyNumberFormat="1" applyFont="1"/>
    <xf numFmtId="3" fontId="0" fillId="0" borderId="0" xfId="0" applyNumberFormat="1" applyAlignment="1">
      <alignment horizontal="center"/>
    </xf>
    <xf numFmtId="0" fontId="19" fillId="0" borderId="1" xfId="0" applyFont="1" applyBorder="1" applyAlignment="1">
      <alignment vertical="top" wrapText="1"/>
    </xf>
    <xf numFmtId="0" fontId="15" fillId="5" borderId="4" xfId="0" applyFont="1" applyFill="1" applyBorder="1" applyAlignment="1">
      <alignment horizontal="center"/>
    </xf>
    <xf numFmtId="0" fontId="15" fillId="5" borderId="5" xfId="0" applyFont="1" applyFill="1" applyBorder="1" applyAlignment="1">
      <alignment horizontal="center"/>
    </xf>
    <xf numFmtId="0" fontId="15" fillId="5" borderId="5" xfId="0" applyFont="1" applyFill="1" applyBorder="1" applyAlignment="1">
      <alignment horizontal="center" wrapText="1"/>
    </xf>
    <xf numFmtId="0" fontId="15" fillId="5" borderId="5" xfId="0" applyFont="1" applyFill="1" applyBorder="1" applyAlignment="1">
      <alignment horizontal="center" vertical="top" wrapText="1"/>
    </xf>
    <xf numFmtId="0" fontId="15" fillId="5" borderId="5" xfId="0" applyFont="1" applyFill="1" applyBorder="1" applyAlignment="1">
      <alignment horizontal="center" vertical="center"/>
    </xf>
    <xf numFmtId="0" fontId="17" fillId="0" borderId="6" xfId="0" applyFont="1" applyBorder="1" applyAlignment="1">
      <alignment horizontal="center"/>
    </xf>
    <xf numFmtId="0" fontId="12" fillId="0" borderId="7" xfId="0" applyFont="1" applyBorder="1" applyAlignment="1">
      <alignment horizontal="center"/>
    </xf>
    <xf numFmtId="0" fontId="12" fillId="0" borderId="7" xfId="0" applyFont="1" applyBorder="1" applyAlignment="1">
      <alignment horizontal="left"/>
    </xf>
    <xf numFmtId="0" fontId="12" fillId="0" borderId="7" xfId="0" applyFont="1" applyBorder="1" applyAlignment="1">
      <alignment wrapText="1"/>
    </xf>
    <xf numFmtId="0" fontId="19" fillId="0" borderId="7" xfId="0" applyFont="1" applyBorder="1" applyAlignment="1" applyProtection="1">
      <alignment vertical="top" wrapText="1"/>
      <protection locked="0"/>
    </xf>
    <xf numFmtId="0" fontId="12" fillId="0" borderId="8" xfId="0" applyFont="1" applyBorder="1" applyAlignment="1">
      <alignment horizontal="center" vertical="center"/>
    </xf>
    <xf numFmtId="0" fontId="12" fillId="0" borderId="9" xfId="0" applyFont="1" applyBorder="1"/>
    <xf numFmtId="0" fontId="12" fillId="0" borderId="10" xfId="0" applyFont="1" applyBorder="1" applyAlignment="1">
      <alignment horizontal="center" vertical="center"/>
    </xf>
    <xf numFmtId="0" fontId="17" fillId="0" borderId="9" xfId="0" applyFont="1" applyBorder="1" applyAlignment="1">
      <alignment horizontal="center"/>
    </xf>
    <xf numFmtId="0" fontId="12" fillId="0" borderId="11" xfId="0" applyFont="1" applyBorder="1"/>
    <xf numFmtId="0" fontId="12" fillId="0" borderId="12" xfId="0" applyFont="1" applyBorder="1" applyAlignment="1">
      <alignment horizontal="center" vertical="center"/>
    </xf>
    <xf numFmtId="0" fontId="17" fillId="0" borderId="9" xfId="0" applyFont="1" applyBorder="1" applyAlignment="1">
      <alignment horizontal="left"/>
    </xf>
    <xf numFmtId="0" fontId="12" fillId="0" borderId="13" xfId="0" applyFont="1" applyBorder="1"/>
    <xf numFmtId="0" fontId="12" fillId="0" borderId="14" xfId="0" applyFont="1" applyBorder="1" applyAlignment="1">
      <alignment horizontal="center"/>
    </xf>
    <xf numFmtId="0" fontId="12" fillId="0" borderId="14" xfId="0" applyFont="1" applyBorder="1" applyAlignment="1">
      <alignment horizontal="left"/>
    </xf>
    <xf numFmtId="0" fontId="12" fillId="0" borderId="14" xfId="0" applyFont="1" applyBorder="1" applyAlignment="1">
      <alignment wrapText="1"/>
    </xf>
    <xf numFmtId="0" fontId="19" fillId="0" borderId="14" xfId="0" applyFont="1" applyBorder="1" applyAlignment="1">
      <alignment vertical="top" wrapText="1"/>
    </xf>
    <xf numFmtId="0" fontId="12" fillId="0" borderId="15" xfId="0" applyFont="1" applyBorder="1" applyAlignment="1">
      <alignment horizontal="center" vertical="center"/>
    </xf>
    <xf numFmtId="0" fontId="11" fillId="0" borderId="0" xfId="0" applyFont="1" applyAlignment="1">
      <alignment wrapText="1"/>
    </xf>
    <xf numFmtId="0" fontId="11" fillId="0" borderId="0" xfId="0" applyFont="1"/>
    <xf numFmtId="0" fontId="11" fillId="0" borderId="0" xfId="0" applyFont="1" applyAlignment="1">
      <alignment horizontal="left" wrapText="1"/>
    </xf>
  </cellXfs>
  <cellStyles count="1">
    <cellStyle name="Normal" xfId="0" builtinId="0"/>
  </cellStyles>
  <dxfs count="5">
    <dxf>
      <font>
        <color rgb="FF9C5700"/>
      </font>
      <fill>
        <patternFill>
          <bgColor rgb="FFFFEB9C"/>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Quantum Readiness Index (QRI)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'Executive Summary'!$C$4</c:f>
              <c:strCache>
                <c:ptCount val="1"/>
                <c:pt idx="0">
                  <c:v>Weighted Readiness Score (0~100)</c:v>
                </c:pt>
              </c:strCache>
            </c:strRef>
          </c:tx>
          <c:spPr>
            <a:solidFill>
              <a:schemeClr val="accent1"/>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E4CE-4A67-88C0-F96EBE56AF6D}"/>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2-E4CE-4A67-88C0-F96EBE56AF6D}"/>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3-E4CE-4A67-88C0-F96EBE56AF6D}"/>
              </c:ext>
            </c:extLst>
          </c:dPt>
          <c:cat>
            <c:strRef>
              <c:f>'Executive Summary'!$B$5:$B$7</c:f>
              <c:strCache>
                <c:ptCount val="3"/>
                <c:pt idx="0">
                  <c:v>Strategy (The Why)</c:v>
                </c:pt>
                <c:pt idx="1">
                  <c:v>Technology (The How)</c:v>
                </c:pt>
                <c:pt idx="2">
                  <c:v>Operations (The Who)</c:v>
                </c:pt>
              </c:strCache>
            </c:strRef>
          </c:cat>
          <c:val>
            <c:numRef>
              <c:f>'Executive Summary'!$C$5:$C$7</c:f>
              <c:numCache>
                <c:formatCode>0</c:formatCode>
                <c:ptCount val="3"/>
                <c:pt idx="0">
                  <c:v>21.111111111111111</c:v>
                </c:pt>
                <c:pt idx="1">
                  <c:v>48</c:v>
                </c:pt>
                <c:pt idx="2">
                  <c:v>60</c:v>
                </c:pt>
              </c:numCache>
            </c:numRef>
          </c:val>
          <c:extLst>
            <c:ext xmlns:c16="http://schemas.microsoft.com/office/drawing/2014/chart" uri="{C3380CC4-5D6E-409C-BE32-E72D297353CC}">
              <c16:uniqueId val="{00000000-E4CE-4A67-88C0-F96EBE56AF6D}"/>
            </c:ext>
          </c:extLst>
        </c:ser>
        <c:dLbls>
          <c:showLegendKey val="0"/>
          <c:showVal val="0"/>
          <c:showCatName val="0"/>
          <c:showSerName val="0"/>
          <c:showPercent val="0"/>
          <c:showBubbleSize val="0"/>
        </c:dLbls>
        <c:gapWidth val="182"/>
        <c:axId val="1441642992"/>
        <c:axId val="1441642512"/>
      </c:barChart>
      <c:catAx>
        <c:axId val="14416429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441642512"/>
        <c:crosses val="autoZero"/>
        <c:auto val="1"/>
        <c:lblAlgn val="ctr"/>
        <c:lblOffset val="100"/>
        <c:noMultiLvlLbl val="0"/>
      </c:catAx>
      <c:valAx>
        <c:axId val="1441642512"/>
        <c:scaling>
          <c:orientation val="minMax"/>
          <c:max val="100"/>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44164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solidFill>
              </a:rPr>
              <a:t>LFI Quantum Readiness &amp; Risk Radar™</a:t>
            </a:r>
          </a:p>
          <a:p>
            <a:pPr>
              <a:defRPr/>
            </a:pPr>
            <a:r>
              <a:rPr lang="en-US" sz="1000" b="0" i="0" u="none" strike="noStrike" baseline="0">
                <a:solidFill>
                  <a:schemeClr val="accent1"/>
                </a:solidFill>
              </a:rPr>
              <a:t>(Target State: A balanced, circular expansion toward the 100-point outer ring)</a:t>
            </a:r>
            <a:endParaRPr lang="en-US" sz="1000">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chemeClr val="accent1"/>
            </a:solidFill>
            <a:ln>
              <a:solidFill>
                <a:schemeClr val="accent1"/>
              </a:solidFill>
            </a:ln>
            <a:effectLst/>
          </c:spPr>
          <c:cat>
            <c:strRef>
              <c:f>('Executive Summary'!$B$16:$B$19,'Executive Summary'!$B$21:$B$23,'Executive Summary'!$B$25:$B$28)</c:f>
              <c:strCache>
                <c:ptCount val="11"/>
                <c:pt idx="0">
                  <c:v>A. Actionable Intelligence</c:v>
                </c:pt>
                <c:pt idx="1">
                  <c:v>B. Capturing Business Value</c:v>
                </c:pt>
                <c:pt idx="2">
                  <c:v>C. Securing IP</c:v>
                </c:pt>
                <c:pt idx="3">
                  <c:v>D. Regulations &amp; Standards</c:v>
                </c:pt>
                <c:pt idx="4">
                  <c:v>E. Orchestration</c:v>
                </c:pt>
                <c:pt idx="5">
                  <c:v>F. AI/ML Models</c:v>
                </c:pt>
                <c:pt idx="6">
                  <c:v>G. DevSecOps (App)</c:v>
                </c:pt>
                <c:pt idx="7">
                  <c:v>H. Governance</c:v>
                </c:pt>
                <c:pt idx="8">
                  <c:v>I. Talent Strategy</c:v>
                </c:pt>
                <c:pt idx="9">
                  <c:v>J. Innovation Process</c:v>
                </c:pt>
                <c:pt idx="10">
                  <c:v>K. High Velocity R&amp;D</c:v>
                </c:pt>
              </c:strCache>
            </c:strRef>
          </c:cat>
          <c:val>
            <c:numRef>
              <c:f>('Executive Summary'!$C$16:$C$19,'Executive Summary'!$C$21:$C$23,'Executive Summary'!$C$25:$C$28)</c:f>
              <c:numCache>
                <c:formatCode>0</c:formatCode>
                <c:ptCount val="11"/>
                <c:pt idx="0">
                  <c:v>44.000000000000007</c:v>
                </c:pt>
                <c:pt idx="1">
                  <c:v>0</c:v>
                </c:pt>
                <c:pt idx="2">
                  <c:v>12</c:v>
                </c:pt>
                <c:pt idx="3">
                  <c:v>33.333333333333336</c:v>
                </c:pt>
                <c:pt idx="4">
                  <c:v>30</c:v>
                </c:pt>
                <c:pt idx="5">
                  <c:v>46.666666666666664</c:v>
                </c:pt>
                <c:pt idx="6">
                  <c:v>73.333333333333329</c:v>
                </c:pt>
                <c:pt idx="7">
                  <c:v>25</c:v>
                </c:pt>
                <c:pt idx="8">
                  <c:v>60</c:v>
                </c:pt>
                <c:pt idx="9">
                  <c:v>75</c:v>
                </c:pt>
                <c:pt idx="10">
                  <c:v>80</c:v>
                </c:pt>
              </c:numCache>
            </c:numRef>
          </c:val>
          <c:extLst>
            <c:ext xmlns:c16="http://schemas.microsoft.com/office/drawing/2014/chart" uri="{C3380CC4-5D6E-409C-BE32-E72D297353CC}">
              <c16:uniqueId val="{00000000-B53B-4FBB-8BBD-8CBDDD290902}"/>
            </c:ext>
          </c:extLst>
        </c:ser>
        <c:dLbls>
          <c:showLegendKey val="0"/>
          <c:showVal val="0"/>
          <c:showCatName val="0"/>
          <c:showSerName val="0"/>
          <c:showPercent val="0"/>
          <c:showBubbleSize val="0"/>
        </c:dLbls>
        <c:axId val="1569404224"/>
        <c:axId val="1569406624"/>
      </c:radarChart>
      <c:catAx>
        <c:axId val="156940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569406624"/>
        <c:crosses val="autoZero"/>
        <c:auto val="1"/>
        <c:lblAlgn val="ctr"/>
        <c:lblOffset val="100"/>
        <c:noMultiLvlLbl val="0"/>
      </c:catAx>
      <c:valAx>
        <c:axId val="1569406624"/>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156940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The Threat Radar (Risk Exposure)</a:t>
            </a:r>
          </a:p>
          <a:p>
            <a:pPr>
              <a:defRPr/>
            </a:pPr>
            <a:r>
              <a:rPr lang="en-US" sz="1000" b="0" i="0" u="none" strike="noStrike" baseline="0">
                <a:solidFill>
                  <a:schemeClr val="accent1"/>
                </a:solidFill>
              </a:rPr>
              <a:t>Target State: Full immunity (100) against 'Harvest Now, Decrypt Later' (HNDL) &amp; IP Leakage.</a:t>
            </a:r>
            <a:endParaRPr lang="en-US" sz="1000"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rgbClr val="FF0000"/>
            </a:solidFill>
            <a:ln>
              <a:noFill/>
            </a:ln>
            <a:effectLst/>
          </c:spPr>
          <c:cat>
            <c:strRef>
              <c:f>'Executive Summary'!$B$33:$B$36</c:f>
              <c:strCache>
                <c:ptCount val="4"/>
                <c:pt idx="0">
                  <c:v>IP Defense (C.11)</c:v>
                </c:pt>
                <c:pt idx="1">
                  <c:v>Trade Secret Strategy (C.12)</c:v>
                </c:pt>
                <c:pt idx="2">
                  <c:v>PQC Compliance (D.17)</c:v>
                </c:pt>
                <c:pt idx="3">
                  <c:v>Crypto-Agility (K.45)</c:v>
                </c:pt>
              </c:strCache>
            </c:strRef>
          </c:cat>
          <c:val>
            <c:numRef>
              <c:f>'Executive Summary'!$C$33:$C$36</c:f>
              <c:numCache>
                <c:formatCode>0</c:formatCode>
                <c:ptCount val="4"/>
                <c:pt idx="0">
                  <c:v>0</c:v>
                </c:pt>
                <c:pt idx="1">
                  <c:v>0</c:v>
                </c:pt>
                <c:pt idx="2">
                  <c:v>60</c:v>
                </c:pt>
                <c:pt idx="3">
                  <c:v>80</c:v>
                </c:pt>
              </c:numCache>
            </c:numRef>
          </c:val>
          <c:extLst>
            <c:ext xmlns:c16="http://schemas.microsoft.com/office/drawing/2014/chart" uri="{C3380CC4-5D6E-409C-BE32-E72D297353CC}">
              <c16:uniqueId val="{00000000-3B15-4FD7-A6CA-3A43957FDC2C}"/>
            </c:ext>
          </c:extLst>
        </c:ser>
        <c:dLbls>
          <c:showLegendKey val="0"/>
          <c:showVal val="0"/>
          <c:showCatName val="0"/>
          <c:showSerName val="0"/>
          <c:showPercent val="0"/>
          <c:showBubbleSize val="0"/>
        </c:dLbls>
        <c:axId val="1553534176"/>
        <c:axId val="1553536576"/>
      </c:radarChart>
      <c:catAx>
        <c:axId val="155353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553536576"/>
        <c:crosses val="autoZero"/>
        <c:auto val="1"/>
        <c:lblAlgn val="ctr"/>
        <c:lblOffset val="100"/>
        <c:noMultiLvlLbl val="0"/>
      </c:catAx>
      <c:valAx>
        <c:axId val="1553536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55353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The Opportunity Radar (Commercial Potential)</a:t>
            </a:r>
          </a:p>
          <a:p>
            <a:pPr>
              <a:defRPr/>
            </a:pPr>
            <a:r>
              <a:rPr lang="en-US" sz="1000" b="0">
                <a:solidFill>
                  <a:schemeClr val="accent1"/>
                </a:solidFill>
              </a:rPr>
              <a:t>Target State: Maximized capture (100) of 'NP-Hard' Complexity Walls &amp; ROI.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6162970253718287"/>
          <c:y val="0.23949783500292954"/>
          <c:w val="0.47674059492563431"/>
          <c:h val="0.62296411678122809"/>
        </c:manualLayout>
      </c:layout>
      <c:radarChart>
        <c:radarStyle val="filled"/>
        <c:varyColors val="0"/>
        <c:ser>
          <c:idx val="0"/>
          <c:order val="0"/>
          <c:spPr>
            <a:solidFill>
              <a:schemeClr val="accent1"/>
            </a:solidFill>
            <a:ln>
              <a:noFill/>
            </a:ln>
            <a:effectLst/>
          </c:spPr>
          <c:cat>
            <c:strRef>
              <c:f>'Executive Summary'!$B$38:$B$41</c:f>
              <c:strCache>
                <c:ptCount val="4"/>
                <c:pt idx="0">
                  <c:v>NP-Hard Heatmap (A.1)</c:v>
                </c:pt>
                <c:pt idx="1">
                  <c:v>Commercial Value (B.6)</c:v>
                </c:pt>
                <c:pt idx="2">
                  <c:v>Heuristic Solvers (F.24)</c:v>
                </c:pt>
                <c:pt idx="3">
                  <c:v>ROI Hypothesis (J.40)</c:v>
                </c:pt>
              </c:strCache>
            </c:strRef>
          </c:cat>
          <c:val>
            <c:numRef>
              <c:f>'Executive Summary'!$C$38:$C$41</c:f>
              <c:numCache>
                <c:formatCode>0</c:formatCode>
                <c:ptCount val="4"/>
                <c:pt idx="0">
                  <c:v>60</c:v>
                </c:pt>
                <c:pt idx="1">
                  <c:v>0</c:v>
                </c:pt>
                <c:pt idx="2">
                  <c:v>60</c:v>
                </c:pt>
                <c:pt idx="3">
                  <c:v>60</c:v>
                </c:pt>
              </c:numCache>
            </c:numRef>
          </c:val>
          <c:extLst>
            <c:ext xmlns:c16="http://schemas.microsoft.com/office/drawing/2014/chart" uri="{C3380CC4-5D6E-409C-BE32-E72D297353CC}">
              <c16:uniqueId val="{00000000-1BBB-4193-98B6-3090ABECDE8E}"/>
            </c:ext>
          </c:extLst>
        </c:ser>
        <c:dLbls>
          <c:showLegendKey val="0"/>
          <c:showVal val="0"/>
          <c:showCatName val="0"/>
          <c:showSerName val="0"/>
          <c:showPercent val="0"/>
          <c:showBubbleSize val="0"/>
        </c:dLbls>
        <c:axId val="1553582656"/>
        <c:axId val="1553586016"/>
      </c:radarChart>
      <c:catAx>
        <c:axId val="155358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553586016"/>
        <c:crosses val="autoZero"/>
        <c:auto val="1"/>
        <c:lblAlgn val="ctr"/>
        <c:lblOffset val="100"/>
        <c:noMultiLvlLbl val="0"/>
      </c:catAx>
      <c:valAx>
        <c:axId val="1553586016"/>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55358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28574</xdr:colOff>
      <xdr:row>1</xdr:row>
      <xdr:rowOff>6350</xdr:rowOff>
    </xdr:from>
    <xdr:to>
      <xdr:col>13</xdr:col>
      <xdr:colOff>6350</xdr:colOff>
      <xdr:row>12</xdr:row>
      <xdr:rowOff>6350</xdr:rowOff>
    </xdr:to>
    <xdr:graphicFrame macro="">
      <xdr:nvGraphicFramePr>
        <xdr:cNvPr id="2" name="Chart 1">
          <a:extLst>
            <a:ext uri="{FF2B5EF4-FFF2-40B4-BE49-F238E27FC236}">
              <a16:creationId xmlns:a16="http://schemas.microsoft.com/office/drawing/2014/main" id="{FD0A6F8A-713B-2F71-0109-602318576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41274</xdr:colOff>
      <xdr:row>14</xdr:row>
      <xdr:rowOff>0</xdr:rowOff>
    </xdr:from>
    <xdr:to>
      <xdr:col>13</xdr:col>
      <xdr:colOff>19050</xdr:colOff>
      <xdr:row>28</xdr:row>
      <xdr:rowOff>19050</xdr:rowOff>
    </xdr:to>
    <xdr:graphicFrame macro="">
      <xdr:nvGraphicFramePr>
        <xdr:cNvPr id="3" name="Chart 2">
          <a:extLst>
            <a:ext uri="{FF2B5EF4-FFF2-40B4-BE49-F238E27FC236}">
              <a16:creationId xmlns:a16="http://schemas.microsoft.com/office/drawing/2014/main" id="{68F83F8F-1212-00AD-B888-D6665EDD9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3174</xdr:colOff>
      <xdr:row>31</xdr:row>
      <xdr:rowOff>19050</xdr:rowOff>
    </xdr:from>
    <xdr:to>
      <xdr:col>12</xdr:col>
      <xdr:colOff>107950</xdr:colOff>
      <xdr:row>46</xdr:row>
      <xdr:rowOff>12700</xdr:rowOff>
    </xdr:to>
    <xdr:graphicFrame macro="">
      <xdr:nvGraphicFramePr>
        <xdr:cNvPr id="5" name="Chart 4">
          <a:extLst>
            <a:ext uri="{FF2B5EF4-FFF2-40B4-BE49-F238E27FC236}">
              <a16:creationId xmlns:a16="http://schemas.microsoft.com/office/drawing/2014/main" id="{89E71DE9-B1BE-17BF-1D70-E2F6FD626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263524</xdr:colOff>
      <xdr:row>31</xdr:row>
      <xdr:rowOff>19050</xdr:rowOff>
    </xdr:from>
    <xdr:to>
      <xdr:col>20</xdr:col>
      <xdr:colOff>552449</xdr:colOff>
      <xdr:row>45</xdr:row>
      <xdr:rowOff>196850</xdr:rowOff>
    </xdr:to>
    <xdr:graphicFrame macro="">
      <xdr:nvGraphicFramePr>
        <xdr:cNvPr id="6" name="Chart 5">
          <a:extLst>
            <a:ext uri="{FF2B5EF4-FFF2-40B4-BE49-F238E27FC236}">
              <a16:creationId xmlns:a16="http://schemas.microsoft.com/office/drawing/2014/main" id="{89BA9627-847B-A642-D729-CD7C209A1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2EF58-64A1-4511-AE08-2D85F99F93D7}">
  <dimension ref="B2:B38"/>
  <sheetViews>
    <sheetView workbookViewId="0">
      <selection activeCell="B4" sqref="B4"/>
    </sheetView>
  </sheetViews>
  <sheetFormatPr defaultRowHeight="16" x14ac:dyDescent="0.4"/>
  <cols>
    <col min="1" max="1" width="6" style="51" customWidth="1"/>
    <col min="2" max="2" width="141.6328125" style="50" customWidth="1"/>
    <col min="3" max="16384" width="8.7265625" style="51"/>
  </cols>
  <sheetData>
    <row r="2" spans="2:2" ht="21" x14ac:dyDescent="0.5">
      <c r="B2" s="49" t="s">
        <v>443</v>
      </c>
    </row>
    <row r="4" spans="2:2" ht="80" x14ac:dyDescent="0.4">
      <c r="B4" s="50" t="s">
        <v>457</v>
      </c>
    </row>
    <row r="5" spans="2:2" x14ac:dyDescent="0.4">
      <c r="B5" s="52"/>
    </row>
    <row r="6" spans="2:2" ht="18.5" x14ac:dyDescent="0.4">
      <c r="B6" s="58" t="s">
        <v>444</v>
      </c>
    </row>
    <row r="7" spans="2:2" x14ac:dyDescent="0.4">
      <c r="B7" s="18" t="s">
        <v>445</v>
      </c>
    </row>
    <row r="8" spans="2:2" x14ac:dyDescent="0.4">
      <c r="B8" s="53"/>
    </row>
    <row r="9" spans="2:2" x14ac:dyDescent="0.4">
      <c r="B9" s="53" t="s">
        <v>451</v>
      </c>
    </row>
    <row r="10" spans="2:2" x14ac:dyDescent="0.4">
      <c r="B10" s="53"/>
    </row>
    <row r="11" spans="2:2" x14ac:dyDescent="0.4">
      <c r="B11" s="53" t="s">
        <v>452</v>
      </c>
    </row>
    <row r="12" spans="2:2" x14ac:dyDescent="0.4">
      <c r="B12" s="29"/>
    </row>
    <row r="13" spans="2:2" x14ac:dyDescent="0.4">
      <c r="B13" s="18" t="s">
        <v>459</v>
      </c>
    </row>
    <row r="14" spans="2:2" x14ac:dyDescent="0.4">
      <c r="B14" s="53"/>
    </row>
    <row r="15" spans="2:2" x14ac:dyDescent="0.4">
      <c r="B15" s="53" t="s">
        <v>446</v>
      </c>
    </row>
    <row r="16" spans="2:2" x14ac:dyDescent="0.4">
      <c r="B16" s="53"/>
    </row>
    <row r="17" spans="2:2" x14ac:dyDescent="0.4">
      <c r="B17" s="53" t="s">
        <v>453</v>
      </c>
    </row>
    <row r="18" spans="2:2" x14ac:dyDescent="0.4">
      <c r="B18" s="53"/>
    </row>
    <row r="19" spans="2:2" x14ac:dyDescent="0.4">
      <c r="B19" s="53" t="s">
        <v>447</v>
      </c>
    </row>
    <row r="20" spans="2:2" x14ac:dyDescent="0.4">
      <c r="B20" s="54"/>
    </row>
    <row r="21" spans="2:2" x14ac:dyDescent="0.4">
      <c r="B21" s="55" t="s">
        <v>460</v>
      </c>
    </row>
    <row r="22" spans="2:2" x14ac:dyDescent="0.4">
      <c r="B22" s="53"/>
    </row>
    <row r="23" spans="2:2" x14ac:dyDescent="0.4">
      <c r="B23" s="53" t="s">
        <v>454</v>
      </c>
    </row>
    <row r="24" spans="2:2" x14ac:dyDescent="0.4">
      <c r="B24" s="29"/>
    </row>
    <row r="25" spans="2:2" x14ac:dyDescent="0.4">
      <c r="B25" s="18" t="s">
        <v>442</v>
      </c>
    </row>
    <row r="26" spans="2:2" x14ac:dyDescent="0.4">
      <c r="B26" s="53"/>
    </row>
    <row r="27" spans="2:2" x14ac:dyDescent="0.4">
      <c r="B27" s="53" t="s">
        <v>455</v>
      </c>
    </row>
    <row r="28" spans="2:2" x14ac:dyDescent="0.4">
      <c r="B28" s="53"/>
    </row>
    <row r="29" spans="2:2" x14ac:dyDescent="0.4">
      <c r="B29" s="53" t="s">
        <v>456</v>
      </c>
    </row>
    <row r="30" spans="2:2" x14ac:dyDescent="0.4">
      <c r="B30" s="56"/>
    </row>
    <row r="31" spans="2:2" ht="18.5" x14ac:dyDescent="0.4">
      <c r="B31" s="58" t="s">
        <v>448</v>
      </c>
    </row>
    <row r="32" spans="2:2" ht="409.5" x14ac:dyDescent="0.4">
      <c r="B32" s="57" t="s">
        <v>458</v>
      </c>
    </row>
    <row r="33" spans="2:2" x14ac:dyDescent="0.4">
      <c r="B33" s="56"/>
    </row>
    <row r="34" spans="2:2" ht="18.5" x14ac:dyDescent="0.4">
      <c r="B34" s="58" t="s">
        <v>449</v>
      </c>
    </row>
    <row r="35" spans="2:2" ht="112" x14ac:dyDescent="0.4">
      <c r="B35" s="57" t="s">
        <v>450</v>
      </c>
    </row>
    <row r="36" spans="2:2" x14ac:dyDescent="0.4">
      <c r="B36" s="57"/>
    </row>
    <row r="38" spans="2:2" x14ac:dyDescent="0.4">
      <c r="B38" s="35"/>
    </row>
  </sheetData>
  <sheetProtection algorithmName="SHA-512" hashValue="iDQzO1k4CaJzVtjQx3geDMI0JxmBl7wviGOGoptko9sXhjESoBV7CrIELXPYhy53PjeUsa1oNQpp4k3tkytnMA==" saltValue="3YMEAjiLlqD2oYdXq6VLmA==" spinCount="100000" sheet="1" objects="1" scenarios="1" selectLockedCells="1" selectUnlockedCell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71F01-ACFA-4DEF-ACAB-36617095FC97}">
  <dimension ref="B2:C53"/>
  <sheetViews>
    <sheetView workbookViewId="0">
      <selection activeCell="C10" sqref="C10"/>
    </sheetView>
  </sheetViews>
  <sheetFormatPr defaultRowHeight="18.5" x14ac:dyDescent="0.45"/>
  <cols>
    <col min="2" max="2" width="30.08984375" style="2" customWidth="1"/>
    <col min="3" max="3" width="37.81640625" style="3" bestFit="1" customWidth="1"/>
  </cols>
  <sheetData>
    <row r="2" spans="2:3" s="4" customFormat="1" ht="21" x14ac:dyDescent="0.5">
      <c r="B2" s="15" t="s">
        <v>194</v>
      </c>
      <c r="C2" s="5"/>
    </row>
    <row r="4" spans="2:3" s="1" customFormat="1" x14ac:dyDescent="0.45">
      <c r="B4" s="26" t="s">
        <v>436</v>
      </c>
      <c r="C4" s="27" t="s">
        <v>463</v>
      </c>
    </row>
    <row r="5" spans="2:3" x14ac:dyDescent="0.45">
      <c r="B5" s="16" t="s">
        <v>210</v>
      </c>
      <c r="C5" s="62">
        <f>(AVERAGE('Quantum Readiness Index'!H6:H23) / 2.5) * 100</f>
        <v>21.111111111111111</v>
      </c>
    </row>
    <row r="6" spans="2:3" x14ac:dyDescent="0.45">
      <c r="B6" s="17" t="s">
        <v>211</v>
      </c>
      <c r="C6" s="63">
        <f>(AVERAGE('Quantum Readiness Index'!H24:H33) / 2.5) * 100</f>
        <v>48</v>
      </c>
    </row>
    <row r="7" spans="2:3" ht="19" thickBot="1" x14ac:dyDescent="0.5">
      <c r="B7" s="25" t="s">
        <v>212</v>
      </c>
      <c r="C7" s="64">
        <f>(AVERAGE('Quantum Readiness Index'!H34:H50) / 2.5) * 100</f>
        <v>60</v>
      </c>
    </row>
    <row r="8" spans="2:3" ht="19.5" thickTop="1" thickBot="1" x14ac:dyDescent="0.5">
      <c r="B8" s="24" t="s">
        <v>157</v>
      </c>
      <c r="C8" s="65">
        <f>(C5 * 0.14) + (C6 * 0.29) + (C7 * 0.57)</f>
        <v>51.075555555555553</v>
      </c>
    </row>
    <row r="9" spans="2:3" ht="19" thickTop="1" x14ac:dyDescent="0.45"/>
    <row r="10" spans="2:3" x14ac:dyDescent="0.45">
      <c r="B10" s="12" t="s">
        <v>477</v>
      </c>
      <c r="C10" s="72" t="str">
        <f>LOOKUP(C8, {0,30,50,70,85}, {"The Ostrich (Passive)","The Tourist (Evaluating)","The Pilot Trap (Experimenting)","The Scaler (Operationalizing)","The Leader (Dominating)"})</f>
        <v>The Pilot Trap (Experimenting)</v>
      </c>
    </row>
    <row r="15" spans="2:3" x14ac:dyDescent="0.45">
      <c r="B15" s="11" t="s">
        <v>158</v>
      </c>
    </row>
    <row r="16" spans="2:3" x14ac:dyDescent="0.45">
      <c r="B16" s="10" t="s">
        <v>159</v>
      </c>
      <c r="C16" s="66">
        <f>(AVERAGE('Quantum Readiness Index'!H6:H10)/2.5)*100</f>
        <v>44.000000000000007</v>
      </c>
    </row>
    <row r="17" spans="2:3" x14ac:dyDescent="0.45">
      <c r="B17" s="14" t="s">
        <v>160</v>
      </c>
      <c r="C17" s="66">
        <f>(AVERAGE('Quantum Readiness Index'!H11:H15)/2.5)*100</f>
        <v>0</v>
      </c>
    </row>
    <row r="18" spans="2:3" x14ac:dyDescent="0.45">
      <c r="B18" s="10" t="s">
        <v>161</v>
      </c>
      <c r="C18" s="66">
        <f>(AVERAGE('Quantum Readiness Index'!H16:H20)/2.5)*100</f>
        <v>12</v>
      </c>
    </row>
    <row r="19" spans="2:3" x14ac:dyDescent="0.45">
      <c r="B19" s="10" t="s">
        <v>162</v>
      </c>
      <c r="C19" s="66">
        <f>(AVERAGE('Quantum Readiness Index'!H21:H23)/2.5)*100</f>
        <v>33.333333333333336</v>
      </c>
    </row>
    <row r="20" spans="2:3" x14ac:dyDescent="0.45">
      <c r="B20" s="6" t="s">
        <v>163</v>
      </c>
      <c r="C20" s="67"/>
    </row>
    <row r="21" spans="2:3" x14ac:dyDescent="0.45">
      <c r="B21" s="7" t="s">
        <v>164</v>
      </c>
      <c r="C21" s="68">
        <f>(AVERAGE('Quantum Readiness Index'!H24:H27)/2.5)*100</f>
        <v>30</v>
      </c>
    </row>
    <row r="22" spans="2:3" x14ac:dyDescent="0.45">
      <c r="B22" s="7" t="s">
        <v>165</v>
      </c>
      <c r="C22" s="68">
        <f>(AVERAGE('Quantum Readiness Index'!H28:H30)/2.5)*100</f>
        <v>46.666666666666664</v>
      </c>
    </row>
    <row r="23" spans="2:3" x14ac:dyDescent="0.45">
      <c r="B23" s="7" t="s">
        <v>166</v>
      </c>
      <c r="C23" s="68">
        <f>(AVERAGE('Quantum Readiness Index'!H31:H33)/2.5)*100</f>
        <v>73.333333333333329</v>
      </c>
    </row>
    <row r="24" spans="2:3" x14ac:dyDescent="0.45">
      <c r="B24" s="8" t="s">
        <v>167</v>
      </c>
      <c r="C24" s="67"/>
    </row>
    <row r="25" spans="2:3" x14ac:dyDescent="0.45">
      <c r="B25" s="9" t="s">
        <v>168</v>
      </c>
      <c r="C25" s="69">
        <f>(AVERAGE('Quantum Readiness Index'!H34:H37)/2.5)*100</f>
        <v>25</v>
      </c>
    </row>
    <row r="26" spans="2:3" x14ac:dyDescent="0.45">
      <c r="B26" s="9" t="s">
        <v>169</v>
      </c>
      <c r="C26" s="69">
        <f>(AVERAGE('Quantum Readiness Index'!H38:H42)/2.5)*100</f>
        <v>60</v>
      </c>
    </row>
    <row r="27" spans="2:3" x14ac:dyDescent="0.45">
      <c r="B27" s="9" t="s">
        <v>170</v>
      </c>
      <c r="C27" s="69">
        <f>(AVERAGE('Quantum Readiness Index'!H43:H46)/2.5)*100</f>
        <v>75</v>
      </c>
    </row>
    <row r="28" spans="2:3" x14ac:dyDescent="0.45">
      <c r="B28" s="9" t="s">
        <v>171</v>
      </c>
      <c r="C28" s="69">
        <f>(AVERAGE('Quantum Readiness Index'!H47:H50)/2.5)*100</f>
        <v>80</v>
      </c>
    </row>
    <row r="32" spans="2:3" x14ac:dyDescent="0.45">
      <c r="B32" s="31" t="s">
        <v>199</v>
      </c>
    </row>
    <row r="33" spans="2:3" x14ac:dyDescent="0.45">
      <c r="B33" s="30" t="s">
        <v>200</v>
      </c>
      <c r="C33" s="70">
        <f>(('Quantum Readiness Index'!H16)/2.5)*100</f>
        <v>0</v>
      </c>
    </row>
    <row r="34" spans="2:3" x14ac:dyDescent="0.45">
      <c r="B34" s="30" t="s">
        <v>201</v>
      </c>
      <c r="C34" s="70">
        <f>(('Quantum Readiness Index'!H17)/2.5)*100</f>
        <v>0</v>
      </c>
    </row>
    <row r="35" spans="2:3" x14ac:dyDescent="0.45">
      <c r="B35" s="30" t="s">
        <v>202</v>
      </c>
      <c r="C35" s="70">
        <f>(('Quantum Readiness Index'!H22)/2.5)*100</f>
        <v>60</v>
      </c>
    </row>
    <row r="36" spans="2:3" x14ac:dyDescent="0.45">
      <c r="B36" s="30" t="s">
        <v>203</v>
      </c>
      <c r="C36" s="70">
        <f>(('Quantum Readiness Index'!H50)/2.5)*100</f>
        <v>80</v>
      </c>
    </row>
    <row r="37" spans="2:3" x14ac:dyDescent="0.45">
      <c r="B37" s="12" t="s">
        <v>204</v>
      </c>
      <c r="C37" s="67"/>
    </row>
    <row r="38" spans="2:3" x14ac:dyDescent="0.45">
      <c r="B38" s="32" t="s">
        <v>205</v>
      </c>
      <c r="C38" s="71">
        <f>(('Quantum Readiness Index'!H6)/2.5)*100</f>
        <v>60</v>
      </c>
    </row>
    <row r="39" spans="2:3" x14ac:dyDescent="0.45">
      <c r="B39" s="32" t="s">
        <v>206</v>
      </c>
      <c r="C39" s="71">
        <f>(('Quantum Readiness Index'!H11)/2.5)*100</f>
        <v>0</v>
      </c>
    </row>
    <row r="40" spans="2:3" x14ac:dyDescent="0.45">
      <c r="B40" s="32" t="s">
        <v>207</v>
      </c>
      <c r="C40" s="71">
        <f>(('Quantum Readiness Index'!H29)/2.5)*100</f>
        <v>60</v>
      </c>
    </row>
    <row r="41" spans="2:3" x14ac:dyDescent="0.45">
      <c r="B41" s="32" t="s">
        <v>208</v>
      </c>
      <c r="C41" s="71">
        <f>(('Quantum Readiness Index'!H45)/2.5)*100</f>
        <v>60</v>
      </c>
    </row>
    <row r="47" spans="2:3" s="19" customFormat="1" x14ac:dyDescent="0.45">
      <c r="B47" s="18" t="s">
        <v>191</v>
      </c>
      <c r="C47" s="13"/>
    </row>
    <row r="48" spans="2:3" s="22" customFormat="1" x14ac:dyDescent="0.45">
      <c r="B48" s="20" t="s">
        <v>187</v>
      </c>
      <c r="C48" s="21"/>
    </row>
    <row r="49" spans="2:3" s="22" customFormat="1" x14ac:dyDescent="0.45">
      <c r="B49" s="23" t="s">
        <v>188</v>
      </c>
      <c r="C49" s="21"/>
    </row>
    <row r="50" spans="2:3" s="22" customFormat="1" x14ac:dyDescent="0.45">
      <c r="B50" s="23" t="s">
        <v>189</v>
      </c>
      <c r="C50" s="21"/>
    </row>
    <row r="51" spans="2:3" s="22" customFormat="1" x14ac:dyDescent="0.45">
      <c r="B51" s="23" t="s">
        <v>190</v>
      </c>
      <c r="C51" s="21"/>
    </row>
    <row r="53" spans="2:3" x14ac:dyDescent="0.45">
      <c r="B53" s="29" t="s">
        <v>209</v>
      </c>
    </row>
  </sheetData>
  <sheetProtection selectLockedCells="1" selectUnlockedCells="1"/>
  <conditionalFormatting sqref="C10">
    <cfRule type="containsText" dxfId="4" priority="1" operator="containsText" text="Leader">
      <formula>NOT(ISERROR(SEARCH("Leader",C10)))</formula>
    </cfRule>
    <cfRule type="containsText" dxfId="3" priority="2" operator="containsText" text="Ostrich">
      <formula>NOT(ISERROR(SEARCH("Ostrich",C10)))</formula>
    </cfRule>
    <cfRule type="containsText" dxfId="2" priority="3" operator="containsText" text="Ostrich/Tourist">
      <formula>NOT(ISERROR(SEARCH("Ostrich/Tourist",C10)))</formula>
    </cfRule>
    <cfRule type="containsText" dxfId="1" priority="4" operator="containsText" text="Scaler/Leader">
      <formula>NOT(ISERROR(SEARCH("Scaler/Leader",C10)))</formula>
    </cfRule>
    <cfRule type="containsText" dxfId="0" priority="5" operator="containsText" text="Pilot">
      <formula>NOT(ISERROR(SEARCH("Pilot",C10)))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4DB5B-53BA-41E0-846E-2BA6DEF4AABA}">
  <sheetPr>
    <pageSetUpPr fitToPage="1"/>
  </sheetPr>
  <dimension ref="B3:H54"/>
  <sheetViews>
    <sheetView tabSelected="1" topLeftCell="D33" zoomScale="110" zoomScaleNormal="110" workbookViewId="0">
      <selection activeCell="F37" sqref="F37"/>
    </sheetView>
  </sheetViews>
  <sheetFormatPr defaultRowHeight="14.5" x14ac:dyDescent="0.35"/>
  <cols>
    <col min="1" max="1" width="2.26953125" style="19" customWidth="1"/>
    <col min="2" max="2" width="35.81640625" style="19" customWidth="1"/>
    <col min="3" max="3" width="39.453125" style="34" customWidth="1"/>
    <col min="4" max="4" width="36.1796875" style="45" bestFit="1" customWidth="1"/>
    <col min="5" max="6" width="41.6328125" style="33" customWidth="1"/>
    <col min="7" max="7" width="60.6328125" style="47" customWidth="1"/>
    <col min="8" max="8" width="28.08984375" style="43" customWidth="1"/>
    <col min="9" max="16384" width="8.7265625" style="19"/>
  </cols>
  <sheetData>
    <row r="3" spans="2:8" s="28" customFormat="1" ht="18.5" x14ac:dyDescent="0.45">
      <c r="B3" s="38" t="s">
        <v>192</v>
      </c>
      <c r="C3" s="60"/>
      <c r="D3" s="44" t="s">
        <v>193</v>
      </c>
      <c r="E3" s="59"/>
      <c r="F3" s="44" t="s">
        <v>461</v>
      </c>
      <c r="G3" s="61"/>
      <c r="H3" s="42"/>
    </row>
    <row r="4" spans="2:8" ht="15" thickBot="1" x14ac:dyDescent="0.4"/>
    <row r="5" spans="2:8" s="39" customFormat="1" ht="19.5" thickTop="1" thickBot="1" x14ac:dyDescent="0.5">
      <c r="B5" s="99" t="s">
        <v>436</v>
      </c>
      <c r="C5" s="100" t="s">
        <v>437</v>
      </c>
      <c r="D5" s="100" t="s">
        <v>438</v>
      </c>
      <c r="E5" s="101" t="s">
        <v>90</v>
      </c>
      <c r="F5" s="101" t="s">
        <v>439</v>
      </c>
      <c r="G5" s="102" t="s">
        <v>440</v>
      </c>
      <c r="H5" s="103" t="s">
        <v>441</v>
      </c>
    </row>
    <row r="6" spans="2:8" ht="58" x14ac:dyDescent="0.35">
      <c r="B6" s="104" t="s">
        <v>517</v>
      </c>
      <c r="C6" s="105" t="s">
        <v>0</v>
      </c>
      <c r="D6" s="106" t="s">
        <v>91</v>
      </c>
      <c r="E6" s="107" t="s">
        <v>11</v>
      </c>
      <c r="F6" s="107" t="s">
        <v>195</v>
      </c>
      <c r="G6" s="108" t="s">
        <v>478</v>
      </c>
      <c r="H6" s="109">
        <f>IFERROR(CHOOSE(VALUE(LEFT(TRIM(G6),1)), 0, 1, 1.5, 2, 2.5), "")</f>
        <v>1.5</v>
      </c>
    </row>
    <row r="7" spans="2:8" ht="43.5" x14ac:dyDescent="0.35">
      <c r="B7" s="110"/>
      <c r="C7" s="41"/>
      <c r="D7" s="46" t="s">
        <v>92</v>
      </c>
      <c r="E7" s="40" t="s">
        <v>12</v>
      </c>
      <c r="F7" s="40" t="s">
        <v>56</v>
      </c>
      <c r="G7" s="48" t="s">
        <v>464</v>
      </c>
      <c r="H7" s="111">
        <f t="shared" ref="H7:H50" si="0">IFERROR(CHOOSE(VALUE(LEFT(TRIM(G7),1)), 0, 1, 1.5, 2, 2.5), "")</f>
        <v>2</v>
      </c>
    </row>
    <row r="8" spans="2:8" ht="58" x14ac:dyDescent="0.35">
      <c r="B8" s="110"/>
      <c r="C8" s="41"/>
      <c r="D8" s="46" t="s">
        <v>93</v>
      </c>
      <c r="E8" s="40" t="s">
        <v>13</v>
      </c>
      <c r="F8" s="40" t="s">
        <v>196</v>
      </c>
      <c r="G8" s="48" t="s">
        <v>479</v>
      </c>
      <c r="H8" s="111">
        <f t="shared" si="0"/>
        <v>2</v>
      </c>
    </row>
    <row r="9" spans="2:8" ht="43.5" x14ac:dyDescent="0.35">
      <c r="B9" s="110"/>
      <c r="C9" s="41"/>
      <c r="D9" s="46" t="s">
        <v>94</v>
      </c>
      <c r="E9" s="40" t="s">
        <v>14</v>
      </c>
      <c r="F9" s="40" t="s">
        <v>138</v>
      </c>
      <c r="G9" s="48" t="s">
        <v>465</v>
      </c>
      <c r="H9" s="111">
        <f t="shared" si="0"/>
        <v>0</v>
      </c>
    </row>
    <row r="10" spans="2:8" ht="43.5" x14ac:dyDescent="0.35">
      <c r="B10" s="110"/>
      <c r="C10" s="41"/>
      <c r="D10" s="46" t="s">
        <v>95</v>
      </c>
      <c r="E10" s="40" t="s">
        <v>15</v>
      </c>
      <c r="F10" s="40" t="s">
        <v>139</v>
      </c>
      <c r="G10" s="48" t="s">
        <v>466</v>
      </c>
      <c r="H10" s="111">
        <f t="shared" si="0"/>
        <v>0</v>
      </c>
    </row>
    <row r="11" spans="2:8" ht="43.5" x14ac:dyDescent="0.35">
      <c r="B11" s="110"/>
      <c r="C11" s="41" t="s">
        <v>1</v>
      </c>
      <c r="D11" s="46" t="s">
        <v>96</v>
      </c>
      <c r="E11" s="40" t="s">
        <v>16</v>
      </c>
      <c r="F11" s="40" t="s">
        <v>198</v>
      </c>
      <c r="G11" s="48" t="s">
        <v>467</v>
      </c>
      <c r="H11" s="111">
        <f t="shared" si="0"/>
        <v>0</v>
      </c>
    </row>
    <row r="12" spans="2:8" ht="43.5" x14ac:dyDescent="0.35">
      <c r="B12" s="110"/>
      <c r="C12" s="41"/>
      <c r="D12" s="46" t="s">
        <v>97</v>
      </c>
      <c r="E12" s="40" t="s">
        <v>17</v>
      </c>
      <c r="F12" s="40" t="s">
        <v>140</v>
      </c>
      <c r="G12" s="48" t="s">
        <v>468</v>
      </c>
      <c r="H12" s="111">
        <f t="shared" si="0"/>
        <v>0</v>
      </c>
    </row>
    <row r="13" spans="2:8" ht="43.5" x14ac:dyDescent="0.35">
      <c r="B13" s="110"/>
      <c r="C13" s="41"/>
      <c r="D13" s="46" t="s">
        <v>98</v>
      </c>
      <c r="E13" s="40" t="s">
        <v>18</v>
      </c>
      <c r="F13" s="40" t="s">
        <v>141</v>
      </c>
      <c r="G13" s="48" t="s">
        <v>151</v>
      </c>
      <c r="H13" s="111">
        <f t="shared" si="0"/>
        <v>0</v>
      </c>
    </row>
    <row r="14" spans="2:8" ht="43.5" x14ac:dyDescent="0.35">
      <c r="B14" s="110"/>
      <c r="C14" s="41"/>
      <c r="D14" s="46" t="s">
        <v>99</v>
      </c>
      <c r="E14" s="40" t="s">
        <v>19</v>
      </c>
      <c r="F14" s="40" t="s">
        <v>57</v>
      </c>
      <c r="G14" s="48" t="s">
        <v>152</v>
      </c>
      <c r="H14" s="111">
        <f t="shared" si="0"/>
        <v>0</v>
      </c>
    </row>
    <row r="15" spans="2:8" ht="43.5" x14ac:dyDescent="0.35">
      <c r="B15" s="110"/>
      <c r="C15" s="41"/>
      <c r="D15" s="46" t="s">
        <v>100</v>
      </c>
      <c r="E15" s="40" t="s">
        <v>20</v>
      </c>
      <c r="F15" s="40" t="s">
        <v>142</v>
      </c>
      <c r="G15" s="48" t="s">
        <v>469</v>
      </c>
      <c r="H15" s="111">
        <f t="shared" si="0"/>
        <v>0</v>
      </c>
    </row>
    <row r="16" spans="2:8" ht="43.5" x14ac:dyDescent="0.35">
      <c r="B16" s="110"/>
      <c r="C16" s="41" t="s">
        <v>2</v>
      </c>
      <c r="D16" s="46" t="s">
        <v>101</v>
      </c>
      <c r="E16" s="40" t="s">
        <v>21</v>
      </c>
      <c r="F16" s="40" t="s">
        <v>58</v>
      </c>
      <c r="G16" s="48" t="s">
        <v>470</v>
      </c>
      <c r="H16" s="111">
        <f t="shared" si="0"/>
        <v>0</v>
      </c>
    </row>
    <row r="17" spans="2:8" ht="43.5" x14ac:dyDescent="0.35">
      <c r="B17" s="110"/>
      <c r="C17" s="41"/>
      <c r="D17" s="46" t="s">
        <v>102</v>
      </c>
      <c r="E17" s="40" t="s">
        <v>22</v>
      </c>
      <c r="F17" s="40" t="s">
        <v>59</v>
      </c>
      <c r="G17" s="48" t="s">
        <v>471</v>
      </c>
      <c r="H17" s="111">
        <f t="shared" si="0"/>
        <v>0</v>
      </c>
    </row>
    <row r="18" spans="2:8" ht="43.5" x14ac:dyDescent="0.35">
      <c r="B18" s="110"/>
      <c r="C18" s="41"/>
      <c r="D18" s="46" t="s">
        <v>103</v>
      </c>
      <c r="E18" s="40" t="s">
        <v>23</v>
      </c>
      <c r="F18" s="40" t="s">
        <v>60</v>
      </c>
      <c r="G18" s="48" t="s">
        <v>472</v>
      </c>
      <c r="H18" s="111">
        <f t="shared" si="0"/>
        <v>0</v>
      </c>
    </row>
    <row r="19" spans="2:8" ht="43.5" x14ac:dyDescent="0.35">
      <c r="B19" s="110"/>
      <c r="C19" s="41"/>
      <c r="D19" s="46" t="s">
        <v>104</v>
      </c>
      <c r="E19" s="40" t="s">
        <v>24</v>
      </c>
      <c r="F19" s="40" t="s">
        <v>61</v>
      </c>
      <c r="G19" s="48" t="s">
        <v>172</v>
      </c>
      <c r="H19" s="111">
        <f t="shared" si="0"/>
        <v>1.5</v>
      </c>
    </row>
    <row r="20" spans="2:8" ht="43.5" x14ac:dyDescent="0.35">
      <c r="B20" s="110"/>
      <c r="C20" s="41"/>
      <c r="D20" s="46" t="s">
        <v>105</v>
      </c>
      <c r="E20" s="40" t="s">
        <v>25</v>
      </c>
      <c r="F20" s="40" t="s">
        <v>62</v>
      </c>
      <c r="G20" s="48" t="s">
        <v>473</v>
      </c>
      <c r="H20" s="111">
        <f t="shared" si="0"/>
        <v>0</v>
      </c>
    </row>
    <row r="21" spans="2:8" ht="43.5" x14ac:dyDescent="0.35">
      <c r="B21" s="110"/>
      <c r="C21" s="41" t="s">
        <v>3</v>
      </c>
      <c r="D21" s="46" t="s">
        <v>106</v>
      </c>
      <c r="E21" s="40" t="s">
        <v>26</v>
      </c>
      <c r="F21" s="40" t="s">
        <v>63</v>
      </c>
      <c r="G21" s="48" t="s">
        <v>476</v>
      </c>
      <c r="H21" s="111">
        <f t="shared" si="0"/>
        <v>1</v>
      </c>
    </row>
    <row r="22" spans="2:8" ht="58" x14ac:dyDescent="0.35">
      <c r="B22" s="110"/>
      <c r="C22" s="41"/>
      <c r="D22" s="46" t="s">
        <v>107</v>
      </c>
      <c r="E22" s="40" t="s">
        <v>27</v>
      </c>
      <c r="F22" s="40" t="s">
        <v>197</v>
      </c>
      <c r="G22" s="48" t="s">
        <v>475</v>
      </c>
      <c r="H22" s="111">
        <f t="shared" si="0"/>
        <v>1.5</v>
      </c>
    </row>
    <row r="23" spans="2:8" ht="43.5" x14ac:dyDescent="0.35">
      <c r="B23" s="110"/>
      <c r="C23" s="41"/>
      <c r="D23" s="46" t="s">
        <v>108</v>
      </c>
      <c r="E23" s="40" t="s">
        <v>28</v>
      </c>
      <c r="F23" s="40" t="s">
        <v>64</v>
      </c>
      <c r="G23" s="48" t="s">
        <v>474</v>
      </c>
      <c r="H23" s="111">
        <f t="shared" si="0"/>
        <v>0</v>
      </c>
    </row>
    <row r="24" spans="2:8" ht="43.5" x14ac:dyDescent="0.35">
      <c r="B24" s="112" t="s">
        <v>518</v>
      </c>
      <c r="C24" s="41" t="s">
        <v>4</v>
      </c>
      <c r="D24" s="46" t="s">
        <v>109</v>
      </c>
      <c r="E24" s="40" t="s">
        <v>29</v>
      </c>
      <c r="F24" s="40" t="s">
        <v>520</v>
      </c>
      <c r="G24" s="48" t="s">
        <v>143</v>
      </c>
      <c r="H24" s="111">
        <f t="shared" si="0"/>
        <v>1.5</v>
      </c>
    </row>
    <row r="25" spans="2:8" ht="43.5" x14ac:dyDescent="0.35">
      <c r="B25" s="110"/>
      <c r="C25" s="41"/>
      <c r="D25" s="46" t="s">
        <v>110</v>
      </c>
      <c r="E25" s="40" t="s">
        <v>30</v>
      </c>
      <c r="F25" s="40" t="s">
        <v>65</v>
      </c>
      <c r="G25" s="48" t="s">
        <v>144</v>
      </c>
      <c r="H25" s="111">
        <f t="shared" si="0"/>
        <v>1.5</v>
      </c>
    </row>
    <row r="26" spans="2:8" ht="43.5" x14ac:dyDescent="0.35">
      <c r="B26" s="110"/>
      <c r="C26" s="41"/>
      <c r="D26" s="46" t="s">
        <v>111</v>
      </c>
      <c r="E26" s="40" t="s">
        <v>31</v>
      </c>
      <c r="F26" s="40" t="s">
        <v>66</v>
      </c>
      <c r="G26" s="48" t="s">
        <v>153</v>
      </c>
      <c r="H26" s="111">
        <f t="shared" si="0"/>
        <v>0</v>
      </c>
    </row>
    <row r="27" spans="2:8" ht="43.5" x14ac:dyDescent="0.35">
      <c r="B27" s="110"/>
      <c r="C27" s="41"/>
      <c r="D27" s="46" t="s">
        <v>112</v>
      </c>
      <c r="E27" s="40" t="s">
        <v>32</v>
      </c>
      <c r="F27" s="40" t="s">
        <v>67</v>
      </c>
      <c r="G27" s="48" t="s">
        <v>145</v>
      </c>
      <c r="H27" s="111">
        <f t="shared" si="0"/>
        <v>0</v>
      </c>
    </row>
    <row r="28" spans="2:8" ht="43.5" x14ac:dyDescent="0.35">
      <c r="B28" s="110"/>
      <c r="C28" s="41" t="s">
        <v>5</v>
      </c>
      <c r="D28" s="46" t="s">
        <v>113</v>
      </c>
      <c r="E28" s="40" t="s">
        <v>33</v>
      </c>
      <c r="F28" s="40" t="s">
        <v>68</v>
      </c>
      <c r="G28" s="48" t="s">
        <v>154</v>
      </c>
      <c r="H28" s="111">
        <f t="shared" si="0"/>
        <v>0</v>
      </c>
    </row>
    <row r="29" spans="2:8" ht="58" x14ac:dyDescent="0.35">
      <c r="B29" s="110"/>
      <c r="C29" s="41"/>
      <c r="D29" s="46" t="s">
        <v>114</v>
      </c>
      <c r="E29" s="40" t="s">
        <v>34</v>
      </c>
      <c r="F29" s="40" t="s">
        <v>69</v>
      </c>
      <c r="G29" s="48" t="s">
        <v>173</v>
      </c>
      <c r="H29" s="111">
        <f t="shared" si="0"/>
        <v>1.5</v>
      </c>
    </row>
    <row r="30" spans="2:8" ht="43.5" x14ac:dyDescent="0.35">
      <c r="B30" s="110"/>
      <c r="C30" s="41"/>
      <c r="D30" s="46" t="s">
        <v>115</v>
      </c>
      <c r="E30" s="40" t="s">
        <v>35</v>
      </c>
      <c r="F30" s="40" t="s">
        <v>70</v>
      </c>
      <c r="G30" s="48" t="s">
        <v>174</v>
      </c>
      <c r="H30" s="111">
        <f t="shared" si="0"/>
        <v>2</v>
      </c>
    </row>
    <row r="31" spans="2:8" ht="58" x14ac:dyDescent="0.35">
      <c r="B31" s="110"/>
      <c r="C31" s="41" t="s">
        <v>6</v>
      </c>
      <c r="D31" s="46" t="s">
        <v>116</v>
      </c>
      <c r="E31" s="40" t="s">
        <v>37</v>
      </c>
      <c r="F31" s="40" t="s">
        <v>71</v>
      </c>
      <c r="G31" s="48" t="s">
        <v>146</v>
      </c>
      <c r="H31" s="111">
        <f t="shared" si="0"/>
        <v>2</v>
      </c>
    </row>
    <row r="32" spans="2:8" ht="43.5" x14ac:dyDescent="0.35">
      <c r="B32" s="110"/>
      <c r="C32" s="41"/>
      <c r="D32" s="46" t="s">
        <v>117</v>
      </c>
      <c r="E32" s="40" t="s">
        <v>36</v>
      </c>
      <c r="F32" s="40" t="s">
        <v>72</v>
      </c>
      <c r="G32" s="48" t="s">
        <v>175</v>
      </c>
      <c r="H32" s="111">
        <f t="shared" si="0"/>
        <v>2</v>
      </c>
    </row>
    <row r="33" spans="2:8" ht="43.5" x14ac:dyDescent="0.35">
      <c r="B33" s="110"/>
      <c r="C33" s="41"/>
      <c r="D33" s="46" t="s">
        <v>118</v>
      </c>
      <c r="E33" s="40" t="s">
        <v>38</v>
      </c>
      <c r="F33" s="40" t="s">
        <v>73</v>
      </c>
      <c r="G33" s="48" t="s">
        <v>176</v>
      </c>
      <c r="H33" s="111">
        <f t="shared" si="0"/>
        <v>1.5</v>
      </c>
    </row>
    <row r="34" spans="2:8" ht="43.5" x14ac:dyDescent="0.35">
      <c r="B34" s="112" t="s">
        <v>519</v>
      </c>
      <c r="C34" s="41" t="s">
        <v>7</v>
      </c>
      <c r="D34" s="46" t="s">
        <v>119</v>
      </c>
      <c r="E34" s="40" t="s">
        <v>39</v>
      </c>
      <c r="F34" s="40" t="s">
        <v>74</v>
      </c>
      <c r="G34" s="48" t="s">
        <v>155</v>
      </c>
      <c r="H34" s="111">
        <f t="shared" si="0"/>
        <v>0</v>
      </c>
    </row>
    <row r="35" spans="2:8" ht="43.5" x14ac:dyDescent="0.35">
      <c r="B35" s="110"/>
      <c r="C35" s="41"/>
      <c r="D35" s="46" t="s">
        <v>120</v>
      </c>
      <c r="E35" s="40" t="s">
        <v>40</v>
      </c>
      <c r="F35" s="40" t="s">
        <v>75</v>
      </c>
      <c r="G35" s="48" t="s">
        <v>156</v>
      </c>
      <c r="H35" s="111">
        <f t="shared" si="0"/>
        <v>0</v>
      </c>
    </row>
    <row r="36" spans="2:8" ht="43.5" x14ac:dyDescent="0.35">
      <c r="B36" s="110"/>
      <c r="C36" s="41"/>
      <c r="D36" s="46" t="s">
        <v>121</v>
      </c>
      <c r="E36" s="40" t="s">
        <v>41</v>
      </c>
      <c r="F36" s="40" t="s">
        <v>76</v>
      </c>
      <c r="G36" s="48" t="s">
        <v>177</v>
      </c>
      <c r="H36" s="111">
        <f t="shared" si="0"/>
        <v>1.5</v>
      </c>
    </row>
    <row r="37" spans="2:8" ht="43.5" x14ac:dyDescent="0.35">
      <c r="B37" s="110"/>
      <c r="C37" s="41"/>
      <c r="D37" s="46" t="s">
        <v>122</v>
      </c>
      <c r="E37" s="40" t="s">
        <v>42</v>
      </c>
      <c r="F37" s="40" t="s">
        <v>521</v>
      </c>
      <c r="G37" s="48" t="s">
        <v>462</v>
      </c>
      <c r="H37" s="111">
        <f t="shared" si="0"/>
        <v>1</v>
      </c>
    </row>
    <row r="38" spans="2:8" ht="43.5" x14ac:dyDescent="0.35">
      <c r="B38" s="110"/>
      <c r="C38" s="41" t="s">
        <v>8</v>
      </c>
      <c r="D38" s="46" t="s">
        <v>123</v>
      </c>
      <c r="E38" s="40" t="s">
        <v>43</v>
      </c>
      <c r="F38" s="40" t="s">
        <v>77</v>
      </c>
      <c r="G38" s="48" t="s">
        <v>147</v>
      </c>
      <c r="H38" s="111">
        <f t="shared" si="0"/>
        <v>1.5</v>
      </c>
    </row>
    <row r="39" spans="2:8" ht="43.5" x14ac:dyDescent="0.35">
      <c r="B39" s="110"/>
      <c r="C39" s="41"/>
      <c r="D39" s="46" t="s">
        <v>124</v>
      </c>
      <c r="E39" s="40" t="s">
        <v>44</v>
      </c>
      <c r="F39" s="40" t="s">
        <v>78</v>
      </c>
      <c r="G39" s="48" t="s">
        <v>178</v>
      </c>
      <c r="H39" s="111">
        <f t="shared" si="0"/>
        <v>1</v>
      </c>
    </row>
    <row r="40" spans="2:8" ht="43.5" x14ac:dyDescent="0.35">
      <c r="B40" s="110"/>
      <c r="C40" s="41"/>
      <c r="D40" s="46" t="s">
        <v>125</v>
      </c>
      <c r="E40" s="40" t="s">
        <v>45</v>
      </c>
      <c r="F40" s="40" t="s">
        <v>79</v>
      </c>
      <c r="G40" s="48" t="s">
        <v>148</v>
      </c>
      <c r="H40" s="111">
        <f t="shared" si="0"/>
        <v>1.5</v>
      </c>
    </row>
    <row r="41" spans="2:8" ht="43.5" x14ac:dyDescent="0.35">
      <c r="B41" s="110"/>
      <c r="C41" s="41"/>
      <c r="D41" s="46" t="s">
        <v>126</v>
      </c>
      <c r="E41" s="40" t="s">
        <v>46</v>
      </c>
      <c r="F41" s="40" t="s">
        <v>80</v>
      </c>
      <c r="G41" s="48" t="s">
        <v>149</v>
      </c>
      <c r="H41" s="111">
        <f t="shared" si="0"/>
        <v>1.5</v>
      </c>
    </row>
    <row r="42" spans="2:8" ht="58" x14ac:dyDescent="0.35">
      <c r="B42" s="110"/>
      <c r="C42" s="41"/>
      <c r="D42" s="46" t="s">
        <v>127</v>
      </c>
      <c r="E42" s="40" t="s">
        <v>47</v>
      </c>
      <c r="F42" s="40" t="s">
        <v>81</v>
      </c>
      <c r="G42" s="48" t="s">
        <v>150</v>
      </c>
      <c r="H42" s="111">
        <f t="shared" si="0"/>
        <v>2</v>
      </c>
    </row>
    <row r="43" spans="2:8" ht="43.5" x14ac:dyDescent="0.35">
      <c r="B43" s="110"/>
      <c r="C43" s="41" t="s">
        <v>9</v>
      </c>
      <c r="D43" s="46" t="s">
        <v>128</v>
      </c>
      <c r="E43" s="40" t="s">
        <v>48</v>
      </c>
      <c r="F43" s="40" t="s">
        <v>82</v>
      </c>
      <c r="G43" s="48" t="s">
        <v>179</v>
      </c>
      <c r="H43" s="111">
        <f t="shared" si="0"/>
        <v>2</v>
      </c>
    </row>
    <row r="44" spans="2:8" ht="58" x14ac:dyDescent="0.35">
      <c r="B44" s="110"/>
      <c r="C44" s="41"/>
      <c r="D44" s="46" t="s">
        <v>129</v>
      </c>
      <c r="E44" s="40" t="s">
        <v>49</v>
      </c>
      <c r="F44" s="40" t="s">
        <v>83</v>
      </c>
      <c r="G44" s="48" t="s">
        <v>180</v>
      </c>
      <c r="H44" s="111">
        <f t="shared" si="0"/>
        <v>2</v>
      </c>
    </row>
    <row r="45" spans="2:8" ht="58" x14ac:dyDescent="0.35">
      <c r="B45" s="110"/>
      <c r="C45" s="41"/>
      <c r="D45" s="46" t="s">
        <v>130</v>
      </c>
      <c r="E45" s="40" t="s">
        <v>50</v>
      </c>
      <c r="F45" s="40" t="s">
        <v>84</v>
      </c>
      <c r="G45" s="48" t="s">
        <v>181</v>
      </c>
      <c r="H45" s="111">
        <f t="shared" si="0"/>
        <v>1.5</v>
      </c>
    </row>
    <row r="46" spans="2:8" ht="43.5" x14ac:dyDescent="0.35">
      <c r="B46" s="110"/>
      <c r="C46" s="41"/>
      <c r="D46" s="46" t="s">
        <v>131</v>
      </c>
      <c r="E46" s="40" t="s">
        <v>51</v>
      </c>
      <c r="F46" s="40" t="s">
        <v>85</v>
      </c>
      <c r="G46" s="48" t="s">
        <v>182</v>
      </c>
      <c r="H46" s="111">
        <f t="shared" si="0"/>
        <v>2</v>
      </c>
    </row>
    <row r="47" spans="2:8" ht="58" x14ac:dyDescent="0.35">
      <c r="B47" s="110"/>
      <c r="C47" s="41" t="s">
        <v>10</v>
      </c>
      <c r="D47" s="46" t="s">
        <v>132</v>
      </c>
      <c r="E47" s="40" t="s">
        <v>52</v>
      </c>
      <c r="F47" s="40" t="s">
        <v>86</v>
      </c>
      <c r="G47" s="48" t="s">
        <v>183</v>
      </c>
      <c r="H47" s="111">
        <f t="shared" si="0"/>
        <v>2</v>
      </c>
    </row>
    <row r="48" spans="2:8" ht="58" x14ac:dyDescent="0.35">
      <c r="B48" s="110"/>
      <c r="C48" s="41"/>
      <c r="D48" s="46" t="s">
        <v>134</v>
      </c>
      <c r="E48" s="40" t="s">
        <v>53</v>
      </c>
      <c r="F48" s="40" t="s">
        <v>87</v>
      </c>
      <c r="G48" s="48" t="s">
        <v>184</v>
      </c>
      <c r="H48" s="111">
        <f t="shared" si="0"/>
        <v>2</v>
      </c>
    </row>
    <row r="49" spans="2:8" ht="58" x14ac:dyDescent="0.35">
      <c r="B49" s="110"/>
      <c r="C49" s="41"/>
      <c r="D49" s="46" t="s">
        <v>135</v>
      </c>
      <c r="E49" s="40" t="s">
        <v>54</v>
      </c>
      <c r="F49" s="40" t="s">
        <v>88</v>
      </c>
      <c r="G49" s="48" t="s">
        <v>185</v>
      </c>
      <c r="H49" s="111">
        <f t="shared" si="0"/>
        <v>2</v>
      </c>
    </row>
    <row r="50" spans="2:8" ht="58" x14ac:dyDescent="0.35">
      <c r="B50" s="113"/>
      <c r="C50" s="73"/>
      <c r="D50" s="74" t="s">
        <v>137</v>
      </c>
      <c r="E50" s="75" t="s">
        <v>55</v>
      </c>
      <c r="F50" s="75" t="s">
        <v>89</v>
      </c>
      <c r="G50" s="76" t="s">
        <v>186</v>
      </c>
      <c r="H50" s="114">
        <f t="shared" si="0"/>
        <v>2</v>
      </c>
    </row>
    <row r="51" spans="2:8" ht="43.5" x14ac:dyDescent="0.35">
      <c r="B51" s="115" t="s">
        <v>480</v>
      </c>
      <c r="C51" s="41" t="s">
        <v>481</v>
      </c>
      <c r="D51" s="46" t="s">
        <v>482</v>
      </c>
      <c r="E51" s="40" t="s">
        <v>484</v>
      </c>
      <c r="F51" s="40" t="s">
        <v>483</v>
      </c>
      <c r="G51" s="98"/>
      <c r="H51" s="111"/>
    </row>
    <row r="52" spans="2:8" ht="43.5" x14ac:dyDescent="0.35">
      <c r="B52" s="110"/>
      <c r="C52" s="41"/>
      <c r="D52" s="46" t="s">
        <v>485</v>
      </c>
      <c r="E52" s="40" t="s">
        <v>486</v>
      </c>
      <c r="F52" s="40" t="s">
        <v>487</v>
      </c>
      <c r="G52" s="98"/>
      <c r="H52" s="111"/>
    </row>
    <row r="53" spans="2:8" ht="43.5" x14ac:dyDescent="0.35">
      <c r="B53" s="110"/>
      <c r="C53" s="41" t="s">
        <v>488</v>
      </c>
      <c r="D53" s="46" t="s">
        <v>489</v>
      </c>
      <c r="E53" s="40" t="s">
        <v>490</v>
      </c>
      <c r="F53" s="40" t="s">
        <v>491</v>
      </c>
      <c r="G53" s="98"/>
      <c r="H53" s="111"/>
    </row>
    <row r="54" spans="2:8" ht="44" thickBot="1" x14ac:dyDescent="0.4">
      <c r="B54" s="116"/>
      <c r="C54" s="117"/>
      <c r="D54" s="118" t="s">
        <v>492</v>
      </c>
      <c r="E54" s="119" t="s">
        <v>493</v>
      </c>
      <c r="F54" s="119" t="s">
        <v>494</v>
      </c>
      <c r="G54" s="120"/>
      <c r="H54" s="121"/>
    </row>
  </sheetData>
  <sheetProtection selectLockedCells="1"/>
  <pageMargins left="0.7" right="0.7" top="0.75" bottom="0.75" header="0.3" footer="0.3"/>
  <pageSetup paperSize="8" scale="5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FCC6C37-FD1C-4565-91D4-91900DBE5EA8}">
          <x14:formula1>
            <xm:f>OFFSET(Lists!$C$6, 0, (ROW()-6)*3, 5, 1)</xm:f>
          </x14:formula1>
          <xm:sqref>G6:G50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63549-DE63-4E09-A1C4-DF46D8810ADB}">
  <dimension ref="B2:M24"/>
  <sheetViews>
    <sheetView topLeftCell="A6" workbookViewId="0">
      <selection activeCell="I27" sqref="I27"/>
    </sheetView>
  </sheetViews>
  <sheetFormatPr defaultRowHeight="14.5" x14ac:dyDescent="0.35"/>
  <cols>
    <col min="3" max="3" width="7.08984375" customWidth="1"/>
    <col min="4" max="4" width="30.81640625" style="78" customWidth="1"/>
    <col min="5" max="5" width="16.54296875" style="86" customWidth="1"/>
    <col min="9" max="9" width="21.36328125" style="78" customWidth="1"/>
    <col min="11" max="11" width="14.1796875" style="94" customWidth="1"/>
  </cols>
  <sheetData>
    <row r="2" spans="3:13" s="81" customFormat="1" ht="18.5" x14ac:dyDescent="0.45">
      <c r="C2" s="81" t="s">
        <v>504</v>
      </c>
      <c r="D2" s="82"/>
      <c r="E2" s="85"/>
      <c r="H2" s="81" t="s">
        <v>507</v>
      </c>
      <c r="I2" s="82"/>
      <c r="K2" s="93"/>
    </row>
    <row r="3" spans="3:13" x14ac:dyDescent="0.35">
      <c r="C3" s="80" t="s">
        <v>506</v>
      </c>
      <c r="H3" s="80" t="s">
        <v>508</v>
      </c>
    </row>
    <row r="4" spans="3:13" x14ac:dyDescent="0.35">
      <c r="C4" s="80"/>
    </row>
    <row r="5" spans="3:13" x14ac:dyDescent="0.35">
      <c r="E5" s="91" t="s">
        <v>505</v>
      </c>
      <c r="K5" s="95" t="s">
        <v>505</v>
      </c>
    </row>
    <row r="6" spans="3:13" s="1" customFormat="1" x14ac:dyDescent="0.35">
      <c r="C6" s="84" t="s">
        <v>495</v>
      </c>
      <c r="D6" s="83"/>
      <c r="E6" s="89">
        <v>500000000</v>
      </c>
      <c r="H6" t="s">
        <v>509</v>
      </c>
      <c r="I6" s="83"/>
      <c r="K6" s="95"/>
    </row>
    <row r="7" spans="3:13" ht="29" x14ac:dyDescent="0.35">
      <c r="I7" s="78" t="s">
        <v>510</v>
      </c>
      <c r="K7" s="87">
        <v>100000000</v>
      </c>
    </row>
    <row r="8" spans="3:13" x14ac:dyDescent="0.35">
      <c r="C8" t="s">
        <v>496</v>
      </c>
    </row>
    <row r="9" spans="3:13" ht="29" x14ac:dyDescent="0.35">
      <c r="D9" s="78" t="s">
        <v>497</v>
      </c>
      <c r="E9" s="88">
        <v>0.03</v>
      </c>
      <c r="I9" t="s">
        <v>511</v>
      </c>
      <c r="K9" s="92">
        <v>15</v>
      </c>
    </row>
    <row r="11" spans="3:13" s="77" customFormat="1" ht="29" x14ac:dyDescent="0.35">
      <c r="D11" s="79" t="s">
        <v>498</v>
      </c>
      <c r="E11" s="90">
        <f>E6*E9</f>
        <v>15000000</v>
      </c>
      <c r="I11" s="78" t="s">
        <v>512</v>
      </c>
      <c r="K11" s="94">
        <v>5</v>
      </c>
    </row>
    <row r="13" spans="3:13" x14ac:dyDescent="0.35">
      <c r="C13" t="s">
        <v>499</v>
      </c>
      <c r="H13" t="s">
        <v>513</v>
      </c>
      <c r="K13" s="97" t="str">
        <f>IF(K9 &gt; K11, "CRITICAL", "LOW")</f>
        <v>CRITICAL</v>
      </c>
    </row>
    <row r="14" spans="3:13" x14ac:dyDescent="0.35">
      <c r="D14" s="78" t="s">
        <v>500</v>
      </c>
      <c r="E14" s="87">
        <v>350000000</v>
      </c>
    </row>
    <row r="15" spans="3:13" x14ac:dyDescent="0.35">
      <c r="H15" s="77" t="s">
        <v>514</v>
      </c>
      <c r="I15" s="79"/>
      <c r="J15" s="77"/>
      <c r="K15" s="96">
        <f>K7</f>
        <v>100000000</v>
      </c>
      <c r="L15" t="s">
        <v>515</v>
      </c>
      <c r="M15" s="77"/>
    </row>
    <row r="16" spans="3:13" x14ac:dyDescent="0.35">
      <c r="D16" s="78" t="s">
        <v>501</v>
      </c>
      <c r="E16" s="88">
        <v>0.04</v>
      </c>
    </row>
    <row r="18" spans="2:11" s="77" customFormat="1" x14ac:dyDescent="0.35">
      <c r="D18" s="79" t="s">
        <v>502</v>
      </c>
      <c r="E18" s="90">
        <f>E14*E16</f>
        <v>14000000</v>
      </c>
      <c r="I18" s="79"/>
      <c r="K18" s="96"/>
    </row>
    <row r="20" spans="2:11" s="77" customFormat="1" x14ac:dyDescent="0.35">
      <c r="C20" s="77" t="s">
        <v>503</v>
      </c>
      <c r="D20" s="79"/>
      <c r="E20" s="86">
        <f>E11+E18</f>
        <v>29000000</v>
      </c>
      <c r="I20" s="79"/>
      <c r="K20" s="96"/>
    </row>
    <row r="24" spans="2:11" x14ac:dyDescent="0.35">
      <c r="B24" s="77" t="s">
        <v>516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C5E35-4E7C-45E1-B7FC-E7CA79010E62}">
  <dimension ref="C5:EF10"/>
  <sheetViews>
    <sheetView workbookViewId="0">
      <selection activeCell="EG8" sqref="EG8"/>
    </sheetView>
  </sheetViews>
  <sheetFormatPr defaultRowHeight="14.5" x14ac:dyDescent="0.35"/>
  <cols>
    <col min="1" max="2" width="8.7265625" style="19"/>
    <col min="3" max="3" width="31.36328125" style="33" customWidth="1"/>
    <col min="4" max="4" width="4.36328125" style="37" bestFit="1" customWidth="1"/>
    <col min="5" max="5" width="1.81640625" style="19" customWidth="1"/>
    <col min="6" max="6" width="31.6328125" style="33" bestFit="1" customWidth="1"/>
    <col min="7" max="7" width="3.36328125" style="37" bestFit="1" customWidth="1"/>
    <col min="8" max="8" width="2.54296875" style="19" customWidth="1"/>
    <col min="9" max="9" width="28.36328125" style="33" customWidth="1"/>
    <col min="10" max="10" width="3.36328125" style="37" bestFit="1" customWidth="1"/>
    <col min="11" max="11" width="2.26953125" style="19" customWidth="1"/>
    <col min="12" max="12" width="28.54296875" style="33" bestFit="1" customWidth="1"/>
    <col min="13" max="13" width="3.36328125" style="37" bestFit="1" customWidth="1"/>
    <col min="14" max="14" width="2.6328125" style="19" customWidth="1"/>
    <col min="15" max="15" width="25.6328125" style="33" customWidth="1"/>
    <col min="16" max="16" width="3.36328125" style="37" bestFit="1" customWidth="1"/>
    <col min="17" max="17" width="2.453125" style="19" customWidth="1"/>
    <col min="18" max="18" width="27.81640625" style="33" customWidth="1"/>
    <col min="19" max="19" width="3.36328125" style="37" bestFit="1" customWidth="1"/>
    <col min="20" max="20" width="2.90625" style="19" customWidth="1"/>
    <col min="21" max="21" width="28" style="33" customWidth="1"/>
    <col min="22" max="22" width="3.36328125" style="37" bestFit="1" customWidth="1"/>
    <col min="23" max="23" width="1.6328125" style="19" customWidth="1"/>
    <col min="24" max="24" width="25.26953125" style="33" customWidth="1"/>
    <col min="25" max="25" width="3.36328125" style="37" bestFit="1" customWidth="1"/>
    <col min="26" max="26" width="1.54296875" style="19" customWidth="1"/>
    <col min="27" max="27" width="27.81640625" style="33" customWidth="1"/>
    <col min="28" max="28" width="3.36328125" style="37" bestFit="1" customWidth="1"/>
    <col min="29" max="29" width="1.90625" style="19" customWidth="1"/>
    <col min="30" max="30" width="25.90625" style="33" customWidth="1"/>
    <col min="31" max="31" width="3.36328125" style="37" bestFit="1" customWidth="1"/>
    <col min="32" max="32" width="2.453125" style="19" customWidth="1"/>
    <col min="33" max="33" width="28.26953125" style="33" customWidth="1"/>
    <col min="34" max="34" width="3.36328125" style="37" bestFit="1" customWidth="1"/>
    <col min="35" max="35" width="1.54296875" style="19" customWidth="1"/>
    <col min="36" max="36" width="26.90625" style="33" customWidth="1"/>
    <col min="37" max="37" width="3.36328125" style="37" bestFit="1" customWidth="1"/>
    <col min="38" max="38" width="2.36328125" style="19" customWidth="1"/>
    <col min="39" max="39" width="27.08984375" style="33" bestFit="1" customWidth="1"/>
    <col min="40" max="40" width="3.36328125" style="37" bestFit="1" customWidth="1"/>
    <col min="41" max="41" width="2" style="19" customWidth="1"/>
    <col min="42" max="42" width="28.90625" style="33" customWidth="1"/>
    <col min="43" max="43" width="3.36328125" style="37" bestFit="1" customWidth="1"/>
    <col min="44" max="44" width="2.36328125" style="19" customWidth="1"/>
    <col min="45" max="45" width="28.1796875" style="33" customWidth="1"/>
    <col min="46" max="46" width="3.36328125" style="37" bestFit="1" customWidth="1"/>
    <col min="47" max="47" width="1.6328125" style="19" customWidth="1"/>
    <col min="48" max="48" width="32.6328125" style="33" customWidth="1"/>
    <col min="49" max="49" width="3.36328125" style="37" bestFit="1" customWidth="1"/>
    <col min="50" max="50" width="1.6328125" style="19" customWidth="1"/>
    <col min="51" max="51" width="29.90625" style="33" customWidth="1"/>
    <col min="52" max="52" width="3.36328125" style="37" bestFit="1" customWidth="1"/>
    <col min="53" max="53" width="2" style="19" customWidth="1"/>
    <col min="54" max="54" width="29.90625" style="33" bestFit="1" customWidth="1"/>
    <col min="55" max="55" width="3.36328125" style="37" bestFit="1" customWidth="1"/>
    <col min="56" max="56" width="1.1796875" style="19" customWidth="1"/>
    <col min="57" max="57" width="28.36328125" style="33" bestFit="1" customWidth="1"/>
    <col min="58" max="58" width="4.08984375" style="37" customWidth="1"/>
    <col min="59" max="59" width="1.6328125" style="19" customWidth="1"/>
    <col min="60" max="60" width="32.36328125" style="33" customWidth="1"/>
    <col min="61" max="61" width="3.36328125" style="37" bestFit="1" customWidth="1"/>
    <col min="62" max="62" width="1.6328125" style="19" customWidth="1"/>
    <col min="63" max="63" width="27.7265625" style="33" customWidth="1"/>
    <col min="64" max="64" width="4.36328125" style="37" bestFit="1" customWidth="1"/>
    <col min="65" max="65" width="1.90625" style="19" customWidth="1"/>
    <col min="66" max="66" width="28.1796875" style="33" customWidth="1"/>
    <col min="67" max="67" width="3.36328125" style="37" bestFit="1" customWidth="1"/>
    <col min="68" max="68" width="1.36328125" style="19" customWidth="1"/>
    <col min="69" max="69" width="27.6328125" style="33" customWidth="1"/>
    <col min="70" max="70" width="3.36328125" style="37" bestFit="1" customWidth="1"/>
    <col min="71" max="71" width="1.90625" style="19" customWidth="1"/>
    <col min="72" max="72" width="32.81640625" style="33" customWidth="1"/>
    <col min="73" max="73" width="3.36328125" style="37" bestFit="1" customWidth="1"/>
    <col min="74" max="74" width="1.54296875" style="19" customWidth="1"/>
    <col min="75" max="75" width="28.54296875" style="33" customWidth="1"/>
    <col min="76" max="76" width="3.36328125" style="37" bestFit="1" customWidth="1"/>
    <col min="77" max="77" width="2.6328125" style="19" customWidth="1"/>
    <col min="78" max="78" width="24.7265625" style="33" customWidth="1"/>
    <col min="79" max="79" width="3.36328125" style="37" bestFit="1" customWidth="1"/>
    <col min="80" max="80" width="2" style="19" customWidth="1"/>
    <col min="81" max="81" width="27.08984375" style="33" customWidth="1"/>
    <col min="82" max="82" width="3.36328125" style="37" bestFit="1" customWidth="1"/>
    <col min="83" max="83" width="2.26953125" style="19" customWidth="1"/>
    <col min="84" max="84" width="26.6328125" style="33" customWidth="1"/>
    <col min="85" max="85" width="3.36328125" style="37" bestFit="1" customWidth="1"/>
    <col min="86" max="86" width="1.6328125" style="19" customWidth="1"/>
    <col min="87" max="87" width="25.90625" style="33" customWidth="1"/>
    <col min="88" max="88" width="3.36328125" style="37" bestFit="1" customWidth="1"/>
    <col min="89" max="89" width="2" style="19" customWidth="1"/>
    <col min="90" max="90" width="26.36328125" style="33" customWidth="1"/>
    <col min="91" max="91" width="3.36328125" style="37" bestFit="1" customWidth="1"/>
    <col min="92" max="92" width="1.08984375" style="19" customWidth="1"/>
    <col min="93" max="93" width="27.90625" style="33" customWidth="1"/>
    <col min="94" max="94" width="3.36328125" style="37" bestFit="1" customWidth="1"/>
    <col min="95" max="95" width="1.26953125" style="19" customWidth="1"/>
    <col min="96" max="96" width="25.453125" style="33" customWidth="1"/>
    <col min="97" max="97" width="3.36328125" style="37" bestFit="1" customWidth="1"/>
    <col min="98" max="98" width="2.36328125" style="19" customWidth="1"/>
    <col min="99" max="99" width="26.90625" style="33" customWidth="1"/>
    <col min="100" max="100" width="3.36328125" style="37" bestFit="1" customWidth="1"/>
    <col min="101" max="101" width="1.36328125" style="19" customWidth="1"/>
    <col min="102" max="102" width="24.54296875" style="33" customWidth="1"/>
    <col min="103" max="103" width="3.36328125" style="37" bestFit="1" customWidth="1"/>
    <col min="104" max="104" width="1.7265625" style="19" customWidth="1"/>
    <col min="105" max="105" width="27.26953125" style="33" customWidth="1"/>
    <col min="106" max="106" width="3.36328125" style="37" bestFit="1" customWidth="1"/>
    <col min="107" max="107" width="1.90625" style="19" customWidth="1"/>
    <col min="108" max="108" width="26.7265625" style="33" customWidth="1"/>
    <col min="109" max="109" width="3.36328125" style="37" bestFit="1" customWidth="1"/>
    <col min="110" max="110" width="1.7265625" style="19" customWidth="1"/>
    <col min="111" max="111" width="25.81640625" style="33" customWidth="1"/>
    <col min="112" max="112" width="3.36328125" style="37" bestFit="1" customWidth="1"/>
    <col min="113" max="113" width="2.36328125" style="19" customWidth="1"/>
    <col min="114" max="114" width="26.90625" style="33" customWidth="1"/>
    <col min="115" max="115" width="3.36328125" style="37" bestFit="1" customWidth="1"/>
    <col min="116" max="116" width="2.08984375" style="19" customWidth="1"/>
    <col min="117" max="117" width="25.36328125" style="33" customWidth="1"/>
    <col min="118" max="118" width="3.36328125" style="37" bestFit="1" customWidth="1"/>
    <col min="119" max="119" width="2.6328125" style="19" customWidth="1"/>
    <col min="120" max="120" width="23.1796875" style="33" customWidth="1"/>
    <col min="121" max="121" width="3.36328125" style="37" bestFit="1" customWidth="1"/>
    <col min="122" max="122" width="2" style="19" customWidth="1"/>
    <col min="123" max="123" width="23.81640625" style="33" bestFit="1" customWidth="1"/>
    <col min="124" max="124" width="3.36328125" style="37" bestFit="1" customWidth="1"/>
    <col min="125" max="125" width="1.6328125" style="19" customWidth="1"/>
    <col min="126" max="126" width="25.6328125" style="19" customWidth="1"/>
    <col min="127" max="127" width="3.36328125" style="37" bestFit="1" customWidth="1"/>
    <col min="128" max="128" width="1.26953125" style="19" customWidth="1"/>
    <col min="129" max="129" width="26.26953125" style="33" customWidth="1"/>
    <col min="130" max="130" width="3.36328125" style="37" bestFit="1" customWidth="1"/>
    <col min="131" max="131" width="2" style="19" customWidth="1"/>
    <col min="132" max="132" width="32.7265625" style="33" customWidth="1"/>
    <col min="133" max="133" width="3.36328125" style="37" bestFit="1" customWidth="1"/>
    <col min="134" max="134" width="1.90625" style="19" customWidth="1"/>
    <col min="135" max="135" width="25.81640625" style="33" customWidth="1"/>
    <col min="136" max="136" width="3.36328125" style="37" bestFit="1" customWidth="1"/>
    <col min="137" max="16384" width="8.7265625" style="19"/>
  </cols>
  <sheetData>
    <row r="5" spans="3:136" s="18" customFormat="1" ht="32" x14ac:dyDescent="0.4">
      <c r="C5" s="124" t="str">
        <f>'Quantum Readiness Index'!D6</f>
        <v>A.1: Understanding opportunities</v>
      </c>
      <c r="D5" s="124"/>
      <c r="F5" s="124" t="str">
        <f>'Quantum Readiness Index'!D7</f>
        <v>A.2: Forecasting market scenarios</v>
      </c>
      <c r="G5" s="124"/>
      <c r="I5" s="35" t="str">
        <f>'Quantum Readiness Index'!D8</f>
        <v>A.3: Monitoring market data</v>
      </c>
      <c r="J5" s="36"/>
      <c r="L5" s="124" t="str">
        <f>'Quantum Readiness Index'!D9</f>
        <v>A.4: Business value of startups</v>
      </c>
      <c r="M5" s="124"/>
      <c r="O5" s="122" t="str">
        <f>'Quantum Readiness Index'!D10</f>
        <v>A.5: Acquisition pipeline</v>
      </c>
      <c r="P5" s="122"/>
      <c r="R5" s="122" t="str">
        <f>'Quantum Readiness Index'!D11</f>
        <v>B.6: Use case differentiation</v>
      </c>
      <c r="S5" s="122"/>
      <c r="U5" s="123" t="str">
        <f>'Quantum Readiness Index'!D12</f>
        <v>B.7: Timing of value realization</v>
      </c>
      <c r="V5" s="123"/>
      <c r="X5" s="122" t="str">
        <f>'Quantum Readiness Index'!D13</f>
        <v>B.8: Processes and governance</v>
      </c>
      <c r="Y5" s="122"/>
      <c r="AA5" s="122" t="str">
        <f>'Quantum Readiness Index'!D14</f>
        <v>B.9: No-regret capabilities</v>
      </c>
      <c r="AB5" s="122"/>
      <c r="AD5" s="122" t="str">
        <f>'Quantum Readiness Index'!D15</f>
        <v>B.10: Use case exploration</v>
      </c>
      <c r="AE5" s="122"/>
      <c r="AG5" s="123" t="str">
        <f>'Quantum Readiness Index'!D16</f>
        <v>C.11: Protection of IP</v>
      </c>
      <c r="AH5" s="123"/>
      <c r="AJ5" s="122" t="str">
        <f>'Quantum Readiness Index'!D17</f>
        <v>C.12: Decision models</v>
      </c>
      <c r="AK5" s="122"/>
      <c r="AM5" s="123" t="str">
        <f>'Quantum Readiness Index'!D18</f>
        <v>C.13: Invention assessments</v>
      </c>
      <c r="AN5" s="123"/>
      <c r="AP5" s="122" t="str">
        <f>'Quantum Readiness Index'!D19</f>
        <v>C.14: New filings</v>
      </c>
      <c r="AQ5" s="122"/>
      <c r="AS5" s="122" t="str">
        <f>'Quantum Readiness Index'!D20</f>
        <v>C.15: Licensing strategy</v>
      </c>
      <c r="AT5" s="122"/>
      <c r="AV5" s="123" t="str">
        <f>'Quantum Readiness Index'!D21</f>
        <v>D.16: Engaging regulatory agencies</v>
      </c>
      <c r="AW5" s="123"/>
      <c r="AY5" s="123" t="str">
        <f>'Quantum Readiness Index'!D22</f>
        <v>D.17: Understanding standards</v>
      </c>
      <c r="AZ5" s="123"/>
      <c r="BB5" s="123" t="str">
        <f>'Quantum Readiness Index'!D23</f>
        <v>D.18: Stakeholder collaboration</v>
      </c>
      <c r="BC5" s="123"/>
      <c r="BE5" s="123" t="str">
        <f>'Quantum Readiness Index'!D24</f>
        <v>E.19: Containerized workloads</v>
      </c>
      <c r="BF5" s="123"/>
      <c r="BH5" s="123" t="str">
        <f>'Quantum Readiness Index'!D25</f>
        <v>E.20: Quantum-classical orchestration</v>
      </c>
      <c r="BI5" s="123"/>
      <c r="BK5" s="122" t="str">
        <f>'Quantum Readiness Index'!D26</f>
        <v>E.21: Optimized application times</v>
      </c>
      <c r="BL5" s="122"/>
      <c r="BN5" s="122" t="str">
        <f>'Quantum Readiness Index'!D27</f>
        <v>E.22: Interoperating workloads</v>
      </c>
      <c r="BO5" s="122"/>
      <c r="BQ5" s="123" t="str">
        <f>'Quantum Readiness Index'!D28</f>
        <v>F.23: AI/ML models</v>
      </c>
      <c r="BR5" s="123"/>
      <c r="BT5" s="123" t="str">
        <f>'Quantum Readiness Index'!D29</f>
        <v>F.24: Advanced computational models</v>
      </c>
      <c r="BU5" s="123"/>
      <c r="BW5" s="122" t="str">
        <f>'Quantum Readiness Index'!D30</f>
        <v>F.25: Data maturity</v>
      </c>
      <c r="BX5" s="122"/>
      <c r="BZ5" s="35" t="str">
        <f>'Quantum Readiness Index'!D31</f>
        <v>G.26: Cloud-based tools</v>
      </c>
      <c r="CA5" s="36"/>
      <c r="CC5" s="35" t="str">
        <f>'Quantum Readiness Index'!D32</f>
        <v>G.27: Continuous integration and delivery (CI/CD)</v>
      </c>
      <c r="CD5" s="36"/>
      <c r="CF5" s="35" t="str">
        <f>'Quantum Readiness Index'!D33</f>
        <v>G.28: Administration tools</v>
      </c>
      <c r="CG5" s="36"/>
      <c r="CI5" s="35" t="str">
        <f>'Quantum Readiness Index'!D34</f>
        <v>H.29: Alignment of innovation roadmaps</v>
      </c>
      <c r="CJ5" s="36"/>
      <c r="CL5" s="35" t="str">
        <f>'Quantum Readiness Index'!D35</f>
        <v>H.30: Integration with R&amp;D</v>
      </c>
      <c r="CM5" s="36"/>
      <c r="CO5" s="35" t="str">
        <f>'Quantum Readiness Index'!D36</f>
        <v>H.31: Shared business-tech exec responsibility</v>
      </c>
      <c r="CP5" s="36"/>
      <c r="CR5" s="35" t="str">
        <f>'Quantum Readiness Index'!D37</f>
        <v>H.32: Centers of Excellence</v>
      </c>
      <c r="CS5" s="36"/>
      <c r="CU5" s="35" t="str">
        <f>'Quantum Readiness Index'!D38</f>
        <v>I.33: Budgeting</v>
      </c>
      <c r="CV5" s="36"/>
      <c r="CX5" s="35" t="str">
        <f>'Quantum Readiness Index'!D39</f>
        <v>I.34: Staffing</v>
      </c>
      <c r="CY5" s="36"/>
      <c r="DA5" s="35" t="str">
        <f>'Quantum Readiness Index'!D40</f>
        <v>I.35: Community participation</v>
      </c>
      <c r="DB5" s="36"/>
      <c r="DD5" s="35" t="str">
        <f>'Quantum Readiness Index'!D41</f>
        <v>I.36: Innovation culture</v>
      </c>
      <c r="DE5" s="36"/>
      <c r="DG5" s="35" t="str">
        <f>'Quantum Readiness Index'!D42</f>
        <v>I.37: Risk tolerance</v>
      </c>
      <c r="DH5" s="36"/>
      <c r="DJ5" s="35" t="str">
        <f>'Quantum Readiness Index'!D43</f>
        <v>J.38: Ideation to integration</v>
      </c>
      <c r="DK5" s="36"/>
      <c r="DM5" s="35" t="str">
        <f>'Quantum Readiness Index'!D44</f>
        <v>J.39: Strategic planning models</v>
      </c>
      <c r="DN5" s="36"/>
      <c r="DP5" s="35" t="str">
        <f>'Quantum Readiness Index'!D45</f>
        <v>J.40: Expected business value</v>
      </c>
      <c r="DQ5" s="36"/>
      <c r="DS5" s="35" t="str">
        <f>'Quantum Readiness Index'!D46</f>
        <v>J.41: Solution certificates</v>
      </c>
      <c r="DT5" s="36"/>
      <c r="DV5" s="18" t="str">
        <f>'Quantum Readiness Index'!D47</f>
        <v>K.42: Agile methodology</v>
      </c>
      <c r="DW5" s="36"/>
      <c r="DY5" s="35" t="str">
        <f>'Quantum Readiness Index'!D48</f>
        <v>K.43: Incremental deployment</v>
      </c>
      <c r="DZ5" s="36"/>
      <c r="EB5" s="35" t="str">
        <f>'Quantum Readiness Index'!D49</f>
        <v>K.44: Continuous workflow enhancements</v>
      </c>
      <c r="EC5" s="36"/>
      <c r="EE5" s="35" t="str">
        <f>'Quantum Readiness Index'!D50</f>
        <v>K.45: DevSecOps (Operational)</v>
      </c>
      <c r="EF5" s="36"/>
    </row>
    <row r="6" spans="3:136" ht="130.5" x14ac:dyDescent="0.35">
      <c r="C6" s="33" t="s">
        <v>213</v>
      </c>
      <c r="D6" s="37">
        <v>0</v>
      </c>
      <c r="F6" s="33" t="s">
        <v>214</v>
      </c>
      <c r="G6" s="37">
        <v>0</v>
      </c>
      <c r="I6" s="33" t="s">
        <v>215</v>
      </c>
      <c r="J6" s="37">
        <v>0</v>
      </c>
      <c r="L6" s="33" t="s">
        <v>216</v>
      </c>
      <c r="M6" s="37">
        <v>0</v>
      </c>
      <c r="O6" s="33" t="s">
        <v>217</v>
      </c>
      <c r="P6" s="37">
        <v>0</v>
      </c>
      <c r="R6" s="33" t="s">
        <v>218</v>
      </c>
      <c r="S6" s="37">
        <v>0</v>
      </c>
      <c r="U6" s="33" t="s">
        <v>219</v>
      </c>
      <c r="V6" s="37">
        <v>0</v>
      </c>
      <c r="X6" s="33" t="s">
        <v>220</v>
      </c>
      <c r="Y6" s="37">
        <v>0</v>
      </c>
      <c r="AA6" s="33" t="s">
        <v>221</v>
      </c>
      <c r="AB6" s="37">
        <v>0</v>
      </c>
      <c r="AD6" s="33" t="s">
        <v>222</v>
      </c>
      <c r="AE6" s="37">
        <v>0</v>
      </c>
      <c r="AG6" s="33" t="s">
        <v>223</v>
      </c>
      <c r="AH6" s="37">
        <v>0</v>
      </c>
      <c r="AJ6" s="33" t="s">
        <v>224</v>
      </c>
      <c r="AK6" s="37">
        <v>0</v>
      </c>
      <c r="AM6" s="33" t="s">
        <v>225</v>
      </c>
      <c r="AN6" s="37">
        <v>0</v>
      </c>
      <c r="AP6" s="33" t="s">
        <v>226</v>
      </c>
      <c r="AQ6" s="37">
        <v>0</v>
      </c>
      <c r="AS6" s="33" t="s">
        <v>227</v>
      </c>
      <c r="AT6" s="37">
        <v>0</v>
      </c>
      <c r="AV6" s="33" t="s">
        <v>228</v>
      </c>
      <c r="AW6" s="37">
        <v>0</v>
      </c>
      <c r="AY6" s="33" t="s">
        <v>229</v>
      </c>
      <c r="AZ6" s="37">
        <v>0</v>
      </c>
      <c r="BB6" s="33" t="s">
        <v>230</v>
      </c>
      <c r="BC6" s="37">
        <v>0</v>
      </c>
      <c r="BE6" s="33" t="s">
        <v>231</v>
      </c>
      <c r="BF6" s="37">
        <v>0</v>
      </c>
      <c r="BH6" s="33" t="s">
        <v>232</v>
      </c>
      <c r="BI6" s="37">
        <v>0</v>
      </c>
      <c r="BK6" s="33" t="s">
        <v>233</v>
      </c>
      <c r="BL6" s="37">
        <v>0</v>
      </c>
      <c r="BN6" s="33" t="s">
        <v>234</v>
      </c>
      <c r="BO6" s="37">
        <v>0</v>
      </c>
      <c r="BQ6" s="33" t="s">
        <v>235</v>
      </c>
      <c r="BR6" s="37">
        <v>0</v>
      </c>
      <c r="BT6" s="33" t="s">
        <v>236</v>
      </c>
      <c r="BU6" s="37">
        <v>0</v>
      </c>
      <c r="BW6" s="33" t="s">
        <v>237</v>
      </c>
      <c r="BX6" s="37">
        <v>0</v>
      </c>
      <c r="BZ6" s="33" t="s">
        <v>238</v>
      </c>
      <c r="CA6" s="37">
        <v>0</v>
      </c>
      <c r="CC6" s="33" t="s">
        <v>239</v>
      </c>
      <c r="CD6" s="37">
        <v>0</v>
      </c>
      <c r="CF6" s="33" t="s">
        <v>240</v>
      </c>
      <c r="CG6" s="37">
        <v>0</v>
      </c>
      <c r="CI6" s="33" t="s">
        <v>241</v>
      </c>
      <c r="CJ6" s="37">
        <v>0</v>
      </c>
      <c r="CL6" s="33" t="s">
        <v>242</v>
      </c>
      <c r="CM6" s="37">
        <v>0</v>
      </c>
      <c r="CO6" s="33" t="s">
        <v>243</v>
      </c>
      <c r="CP6" s="37">
        <v>0</v>
      </c>
      <c r="CR6" s="33" t="s">
        <v>244</v>
      </c>
      <c r="CS6" s="37">
        <v>0</v>
      </c>
      <c r="CU6" s="33" t="s">
        <v>245</v>
      </c>
      <c r="CV6" s="37">
        <v>0</v>
      </c>
      <c r="CX6" s="33" t="s">
        <v>246</v>
      </c>
      <c r="CY6" s="37">
        <v>0</v>
      </c>
      <c r="DA6" s="33" t="s">
        <v>247</v>
      </c>
      <c r="DB6" s="37">
        <v>0</v>
      </c>
      <c r="DD6" s="33" t="s">
        <v>248</v>
      </c>
      <c r="DE6" s="37">
        <v>0</v>
      </c>
      <c r="DG6" s="33" t="s">
        <v>249</v>
      </c>
      <c r="DH6" s="37">
        <v>0</v>
      </c>
      <c r="DJ6" s="33" t="s">
        <v>250</v>
      </c>
      <c r="DK6" s="37">
        <v>0</v>
      </c>
      <c r="DM6" s="33" t="s">
        <v>251</v>
      </c>
      <c r="DN6" s="37">
        <v>0</v>
      </c>
      <c r="DP6" s="33" t="s">
        <v>252</v>
      </c>
      <c r="DQ6" s="37">
        <v>0</v>
      </c>
      <c r="DS6" s="33" t="s">
        <v>253</v>
      </c>
      <c r="DT6" s="37">
        <v>0</v>
      </c>
      <c r="DV6" s="33" t="s">
        <v>254</v>
      </c>
      <c r="DW6" s="37">
        <v>0</v>
      </c>
      <c r="DY6" s="33" t="s">
        <v>255</v>
      </c>
      <c r="DZ6" s="37">
        <v>0</v>
      </c>
      <c r="EB6" s="33" t="s">
        <v>256</v>
      </c>
      <c r="EC6" s="37">
        <v>0</v>
      </c>
      <c r="EE6" s="33" t="s">
        <v>257</v>
      </c>
      <c r="EF6" s="37">
        <v>0</v>
      </c>
    </row>
    <row r="7" spans="3:136" ht="130.5" x14ac:dyDescent="0.35">
      <c r="C7" s="33" t="s">
        <v>258</v>
      </c>
      <c r="D7" s="37">
        <v>1</v>
      </c>
      <c r="F7" s="33" t="s">
        <v>259</v>
      </c>
      <c r="G7" s="37">
        <v>1</v>
      </c>
      <c r="I7" s="33" t="s">
        <v>260</v>
      </c>
      <c r="J7" s="37">
        <v>1</v>
      </c>
      <c r="L7" s="33" t="s">
        <v>261</v>
      </c>
      <c r="M7" s="37">
        <v>1</v>
      </c>
      <c r="O7" s="33" t="s">
        <v>262</v>
      </c>
      <c r="P7" s="37">
        <v>1</v>
      </c>
      <c r="R7" s="33" t="s">
        <v>263</v>
      </c>
      <c r="S7" s="37">
        <v>1</v>
      </c>
      <c r="U7" s="33" t="s">
        <v>264</v>
      </c>
      <c r="V7" s="37">
        <v>1</v>
      </c>
      <c r="X7" s="33" t="s">
        <v>265</v>
      </c>
      <c r="Y7" s="37">
        <v>1</v>
      </c>
      <c r="AA7" s="33" t="s">
        <v>266</v>
      </c>
      <c r="AB7" s="37">
        <v>1</v>
      </c>
      <c r="AD7" s="33" t="s">
        <v>267</v>
      </c>
      <c r="AE7" s="37">
        <v>1</v>
      </c>
      <c r="AG7" s="33" t="s">
        <v>268</v>
      </c>
      <c r="AH7" s="37">
        <v>1</v>
      </c>
      <c r="AJ7" s="33" t="s">
        <v>269</v>
      </c>
      <c r="AK7" s="37">
        <v>1</v>
      </c>
      <c r="AM7" s="33" t="s">
        <v>270</v>
      </c>
      <c r="AN7" s="37">
        <v>1</v>
      </c>
      <c r="AP7" s="33" t="s">
        <v>271</v>
      </c>
      <c r="AQ7" s="37">
        <v>1</v>
      </c>
      <c r="AS7" s="33" t="s">
        <v>272</v>
      </c>
      <c r="AT7" s="37">
        <v>1</v>
      </c>
      <c r="AV7" s="33" t="s">
        <v>273</v>
      </c>
      <c r="AW7" s="37">
        <v>1</v>
      </c>
      <c r="AY7" s="33" t="s">
        <v>274</v>
      </c>
      <c r="AZ7" s="37">
        <v>1</v>
      </c>
      <c r="BB7" s="33" t="s">
        <v>275</v>
      </c>
      <c r="BC7" s="37">
        <v>1</v>
      </c>
      <c r="BE7" s="33" t="s">
        <v>276</v>
      </c>
      <c r="BF7" s="37">
        <v>1</v>
      </c>
      <c r="BH7" s="33" t="s">
        <v>277</v>
      </c>
      <c r="BI7" s="37">
        <v>1</v>
      </c>
      <c r="BK7" s="33" t="s">
        <v>278</v>
      </c>
      <c r="BL7" s="37">
        <v>1</v>
      </c>
      <c r="BN7" s="33" t="s">
        <v>279</v>
      </c>
      <c r="BO7" s="37">
        <v>1</v>
      </c>
      <c r="BQ7" s="33" t="s">
        <v>280</v>
      </c>
      <c r="BR7" s="37">
        <v>1</v>
      </c>
      <c r="BT7" s="33" t="s">
        <v>281</v>
      </c>
      <c r="BU7" s="37">
        <v>1</v>
      </c>
      <c r="BW7" s="33" t="s">
        <v>282</v>
      </c>
      <c r="BX7" s="37">
        <v>1</v>
      </c>
      <c r="BZ7" s="33" t="s">
        <v>283</v>
      </c>
      <c r="CA7" s="37">
        <v>1</v>
      </c>
      <c r="CC7" s="33" t="s">
        <v>284</v>
      </c>
      <c r="CD7" s="37">
        <v>1</v>
      </c>
      <c r="CF7" s="33" t="s">
        <v>285</v>
      </c>
      <c r="CG7" s="37">
        <v>1</v>
      </c>
      <c r="CI7" s="33" t="s">
        <v>286</v>
      </c>
      <c r="CJ7" s="37">
        <v>1</v>
      </c>
      <c r="CL7" s="33" t="s">
        <v>287</v>
      </c>
      <c r="CM7" s="37">
        <v>1</v>
      </c>
      <c r="CO7" s="33" t="s">
        <v>288</v>
      </c>
      <c r="CP7" s="37">
        <v>1</v>
      </c>
      <c r="CR7" s="33" t="s">
        <v>289</v>
      </c>
      <c r="CS7" s="37">
        <v>1</v>
      </c>
      <c r="CU7" s="33" t="s">
        <v>290</v>
      </c>
      <c r="CV7" s="37">
        <v>1</v>
      </c>
      <c r="CX7" s="33" t="s">
        <v>291</v>
      </c>
      <c r="CY7" s="37">
        <v>1</v>
      </c>
      <c r="DA7" s="33" t="s">
        <v>292</v>
      </c>
      <c r="DB7" s="37">
        <v>1</v>
      </c>
      <c r="DD7" s="33" t="s">
        <v>293</v>
      </c>
      <c r="DE7" s="37">
        <v>1</v>
      </c>
      <c r="DG7" s="33" t="s">
        <v>294</v>
      </c>
      <c r="DH7" s="37">
        <v>1</v>
      </c>
      <c r="DJ7" s="33" t="s">
        <v>295</v>
      </c>
      <c r="DK7" s="37">
        <v>1</v>
      </c>
      <c r="DM7" s="33" t="s">
        <v>296</v>
      </c>
      <c r="DN7" s="37">
        <v>1</v>
      </c>
      <c r="DP7" s="33" t="s">
        <v>297</v>
      </c>
      <c r="DQ7" s="37">
        <v>1</v>
      </c>
      <c r="DS7" s="33" t="s">
        <v>298</v>
      </c>
      <c r="DT7" s="37">
        <v>1</v>
      </c>
      <c r="DV7" s="33" t="s">
        <v>299</v>
      </c>
      <c r="DW7" s="37">
        <v>1</v>
      </c>
      <c r="DY7" s="33" t="s">
        <v>300</v>
      </c>
      <c r="DZ7" s="37">
        <v>1</v>
      </c>
      <c r="EB7" s="33" t="s">
        <v>301</v>
      </c>
      <c r="EC7" s="37">
        <v>1</v>
      </c>
      <c r="EE7" s="33" t="s">
        <v>302</v>
      </c>
      <c r="EF7" s="37">
        <v>1</v>
      </c>
    </row>
    <row r="8" spans="3:136" ht="130.5" x14ac:dyDescent="0.35">
      <c r="C8" s="33" t="s">
        <v>303</v>
      </c>
      <c r="D8" s="37">
        <v>1.5</v>
      </c>
      <c r="F8" s="33" t="s">
        <v>304</v>
      </c>
      <c r="G8" s="37">
        <v>1.5</v>
      </c>
      <c r="I8" s="33" t="s">
        <v>305</v>
      </c>
      <c r="J8" s="37">
        <v>1.5</v>
      </c>
      <c r="L8" s="33" t="s">
        <v>306</v>
      </c>
      <c r="M8" s="37">
        <v>1.5</v>
      </c>
      <c r="O8" s="33" t="s">
        <v>307</v>
      </c>
      <c r="P8" s="37">
        <v>1.5</v>
      </c>
      <c r="R8" s="33" t="s">
        <v>308</v>
      </c>
      <c r="S8" s="37">
        <v>1.5</v>
      </c>
      <c r="U8" s="33" t="s">
        <v>309</v>
      </c>
      <c r="V8" s="37">
        <v>1.5</v>
      </c>
      <c r="X8" s="33" t="s">
        <v>310</v>
      </c>
      <c r="Y8" s="37">
        <v>1.5</v>
      </c>
      <c r="AA8" s="33" t="s">
        <v>311</v>
      </c>
      <c r="AB8" s="37">
        <v>1.5</v>
      </c>
      <c r="AD8" s="33" t="s">
        <v>312</v>
      </c>
      <c r="AE8" s="37">
        <v>1.5</v>
      </c>
      <c r="AG8" s="33" t="s">
        <v>313</v>
      </c>
      <c r="AH8" s="37">
        <v>1.5</v>
      </c>
      <c r="AJ8" s="33" t="s">
        <v>314</v>
      </c>
      <c r="AK8" s="37">
        <v>1.5</v>
      </c>
      <c r="AM8" s="33" t="s">
        <v>315</v>
      </c>
      <c r="AN8" s="37">
        <v>1.5</v>
      </c>
      <c r="AP8" s="33" t="s">
        <v>316</v>
      </c>
      <c r="AQ8" s="37">
        <v>1.5</v>
      </c>
      <c r="AS8" s="33" t="s">
        <v>317</v>
      </c>
      <c r="AT8" s="37">
        <v>1.5</v>
      </c>
      <c r="AV8" s="33" t="s">
        <v>318</v>
      </c>
      <c r="AW8" s="37">
        <v>1.5</v>
      </c>
      <c r="AY8" s="33" t="s">
        <v>319</v>
      </c>
      <c r="AZ8" s="37">
        <v>1.5</v>
      </c>
      <c r="BB8" s="33" t="s">
        <v>320</v>
      </c>
      <c r="BC8" s="37">
        <v>1.5</v>
      </c>
      <c r="BE8" s="33" t="s">
        <v>321</v>
      </c>
      <c r="BF8" s="37">
        <v>1.5</v>
      </c>
      <c r="BH8" s="33" t="s">
        <v>322</v>
      </c>
      <c r="BI8" s="37">
        <v>1.5</v>
      </c>
      <c r="BK8" s="33" t="s">
        <v>323</v>
      </c>
      <c r="BL8" s="37">
        <v>1.5</v>
      </c>
      <c r="BN8" s="33" t="s">
        <v>324</v>
      </c>
      <c r="BO8" s="37">
        <v>1.5</v>
      </c>
      <c r="BQ8" s="33" t="s">
        <v>325</v>
      </c>
      <c r="BR8" s="37">
        <v>1.5</v>
      </c>
      <c r="BT8" s="33" t="s">
        <v>326</v>
      </c>
      <c r="BU8" s="37">
        <v>1.5</v>
      </c>
      <c r="BW8" s="33" t="s">
        <v>327</v>
      </c>
      <c r="BX8" s="37">
        <v>1.5</v>
      </c>
      <c r="BZ8" s="33" t="s">
        <v>328</v>
      </c>
      <c r="CA8" s="37">
        <v>1.5</v>
      </c>
      <c r="CC8" s="33" t="s">
        <v>329</v>
      </c>
      <c r="CD8" s="37">
        <v>1.5</v>
      </c>
      <c r="CF8" s="33" t="s">
        <v>330</v>
      </c>
      <c r="CG8" s="37">
        <v>1.5</v>
      </c>
      <c r="CI8" s="33" t="s">
        <v>331</v>
      </c>
      <c r="CJ8" s="37">
        <v>1.5</v>
      </c>
      <c r="CL8" s="33" t="s">
        <v>332</v>
      </c>
      <c r="CM8" s="37">
        <v>1.5</v>
      </c>
      <c r="CO8" s="33" t="s">
        <v>333</v>
      </c>
      <c r="CP8" s="37">
        <v>1.5</v>
      </c>
      <c r="CR8" s="33" t="s">
        <v>334</v>
      </c>
      <c r="CS8" s="37">
        <v>1.5</v>
      </c>
      <c r="CU8" s="33" t="s">
        <v>335</v>
      </c>
      <c r="CV8" s="37">
        <v>1.5</v>
      </c>
      <c r="CX8" s="33" t="s">
        <v>336</v>
      </c>
      <c r="CY8" s="37">
        <v>1.5</v>
      </c>
      <c r="DA8" s="33" t="s">
        <v>337</v>
      </c>
      <c r="DB8" s="37">
        <v>1.5</v>
      </c>
      <c r="DD8" s="33" t="s">
        <v>338</v>
      </c>
      <c r="DE8" s="37">
        <v>1.5</v>
      </c>
      <c r="DG8" s="33" t="s">
        <v>339</v>
      </c>
      <c r="DH8" s="37">
        <v>1.5</v>
      </c>
      <c r="DJ8" s="33" t="s">
        <v>340</v>
      </c>
      <c r="DK8" s="37">
        <v>1.5</v>
      </c>
      <c r="DM8" s="33" t="s">
        <v>341</v>
      </c>
      <c r="DN8" s="37">
        <v>1.5</v>
      </c>
      <c r="DP8" s="33" t="s">
        <v>342</v>
      </c>
      <c r="DQ8" s="37">
        <v>1.5</v>
      </c>
      <c r="DS8" s="33" t="s">
        <v>343</v>
      </c>
      <c r="DT8" s="37">
        <v>1.5</v>
      </c>
      <c r="DV8" s="33" t="s">
        <v>133</v>
      </c>
      <c r="DW8" s="37">
        <v>1.5</v>
      </c>
      <c r="DY8" s="33" t="s">
        <v>344</v>
      </c>
      <c r="DZ8" s="37">
        <v>1.5</v>
      </c>
      <c r="EB8" s="33" t="s">
        <v>345</v>
      </c>
      <c r="EC8" s="37">
        <v>1.5</v>
      </c>
      <c r="EE8" s="33" t="s">
        <v>346</v>
      </c>
      <c r="EF8" s="37">
        <v>1.5</v>
      </c>
    </row>
    <row r="9" spans="3:136" ht="145" x14ac:dyDescent="0.35">
      <c r="C9" s="33" t="s">
        <v>347</v>
      </c>
      <c r="D9" s="37">
        <v>2</v>
      </c>
      <c r="F9" s="33" t="s">
        <v>348</v>
      </c>
      <c r="G9" s="37">
        <v>2</v>
      </c>
      <c r="I9" s="33" t="s">
        <v>349</v>
      </c>
      <c r="J9" s="37">
        <v>2</v>
      </c>
      <c r="L9" s="33" t="s">
        <v>350</v>
      </c>
      <c r="M9" s="37">
        <v>2</v>
      </c>
      <c r="O9" s="33" t="s">
        <v>351</v>
      </c>
      <c r="P9" s="37">
        <v>2</v>
      </c>
      <c r="R9" s="33" t="s">
        <v>352</v>
      </c>
      <c r="S9" s="37">
        <v>2</v>
      </c>
      <c r="U9" s="33" t="s">
        <v>353</v>
      </c>
      <c r="V9" s="37">
        <v>2</v>
      </c>
      <c r="X9" s="33" t="s">
        <v>354</v>
      </c>
      <c r="Y9" s="37">
        <v>2</v>
      </c>
      <c r="AA9" s="33" t="s">
        <v>355</v>
      </c>
      <c r="AB9" s="37">
        <v>2</v>
      </c>
      <c r="AD9" s="33" t="s">
        <v>356</v>
      </c>
      <c r="AE9" s="37">
        <v>2</v>
      </c>
      <c r="AG9" s="33" t="s">
        <v>357</v>
      </c>
      <c r="AH9" s="37">
        <v>2</v>
      </c>
      <c r="AJ9" s="33" t="s">
        <v>358</v>
      </c>
      <c r="AK9" s="37">
        <v>2</v>
      </c>
      <c r="AM9" s="33" t="s">
        <v>359</v>
      </c>
      <c r="AN9" s="37">
        <v>2</v>
      </c>
      <c r="AP9" s="33" t="s">
        <v>360</v>
      </c>
      <c r="AQ9" s="37">
        <v>2</v>
      </c>
      <c r="AS9" s="33" t="s">
        <v>361</v>
      </c>
      <c r="AT9" s="37">
        <v>2</v>
      </c>
      <c r="AV9" s="33" t="s">
        <v>362</v>
      </c>
      <c r="AW9" s="37">
        <v>2</v>
      </c>
      <c r="AY9" s="33" t="s">
        <v>363</v>
      </c>
      <c r="AZ9" s="37">
        <v>2</v>
      </c>
      <c r="BB9" s="33" t="s">
        <v>364</v>
      </c>
      <c r="BC9" s="37">
        <v>2</v>
      </c>
      <c r="BE9" s="33" t="s">
        <v>365</v>
      </c>
      <c r="BF9" s="37">
        <v>2</v>
      </c>
      <c r="BH9" s="33" t="s">
        <v>366</v>
      </c>
      <c r="BI9" s="37">
        <v>2</v>
      </c>
      <c r="BK9" s="33" t="s">
        <v>367</v>
      </c>
      <c r="BL9" s="37">
        <v>2</v>
      </c>
      <c r="BN9" s="33" t="s">
        <v>368</v>
      </c>
      <c r="BO9" s="37">
        <v>2</v>
      </c>
      <c r="BQ9" s="33" t="s">
        <v>369</v>
      </c>
      <c r="BR9" s="37">
        <v>2</v>
      </c>
      <c r="BT9" s="33" t="s">
        <v>370</v>
      </c>
      <c r="BU9" s="37">
        <v>2</v>
      </c>
      <c r="BW9" s="33" t="s">
        <v>371</v>
      </c>
      <c r="BX9" s="37">
        <v>2</v>
      </c>
      <c r="BZ9" s="33" t="s">
        <v>372</v>
      </c>
      <c r="CA9" s="37">
        <v>2</v>
      </c>
      <c r="CC9" s="33" t="s">
        <v>373</v>
      </c>
      <c r="CD9" s="37">
        <v>2</v>
      </c>
      <c r="CF9" s="33" t="s">
        <v>374</v>
      </c>
      <c r="CG9" s="37">
        <v>2</v>
      </c>
      <c r="CI9" s="33" t="s">
        <v>375</v>
      </c>
      <c r="CJ9" s="37">
        <v>2</v>
      </c>
      <c r="CL9" s="33" t="s">
        <v>376</v>
      </c>
      <c r="CM9" s="37">
        <v>2</v>
      </c>
      <c r="CO9" s="33" t="s">
        <v>377</v>
      </c>
      <c r="CP9" s="37">
        <v>2</v>
      </c>
      <c r="CR9" s="33" t="s">
        <v>378</v>
      </c>
      <c r="CS9" s="37">
        <v>2</v>
      </c>
      <c r="CU9" s="33" t="s">
        <v>379</v>
      </c>
      <c r="CV9" s="37">
        <v>2</v>
      </c>
      <c r="CX9" s="33" t="s">
        <v>380</v>
      </c>
      <c r="CY9" s="37">
        <v>2</v>
      </c>
      <c r="DA9" s="33" t="s">
        <v>381</v>
      </c>
      <c r="DB9" s="37">
        <v>2</v>
      </c>
      <c r="DD9" s="33" t="s">
        <v>382</v>
      </c>
      <c r="DE9" s="37">
        <v>2</v>
      </c>
      <c r="DG9" s="33" t="s">
        <v>383</v>
      </c>
      <c r="DH9" s="37">
        <v>2</v>
      </c>
      <c r="DJ9" s="33" t="s">
        <v>384</v>
      </c>
      <c r="DK9" s="37">
        <v>2</v>
      </c>
      <c r="DM9" s="33" t="s">
        <v>385</v>
      </c>
      <c r="DN9" s="37">
        <v>2</v>
      </c>
      <c r="DP9" s="33" t="s">
        <v>386</v>
      </c>
      <c r="DQ9" s="37">
        <v>2</v>
      </c>
      <c r="DS9" s="33" t="s">
        <v>387</v>
      </c>
      <c r="DT9" s="37">
        <v>2</v>
      </c>
      <c r="DV9" s="33" t="s">
        <v>388</v>
      </c>
      <c r="DW9" s="37">
        <v>2</v>
      </c>
      <c r="DY9" s="33" t="s">
        <v>389</v>
      </c>
      <c r="DZ9" s="37">
        <v>2</v>
      </c>
      <c r="EB9" s="33" t="s">
        <v>390</v>
      </c>
      <c r="EC9" s="37">
        <v>2</v>
      </c>
      <c r="EE9" s="33" t="s">
        <v>391</v>
      </c>
      <c r="EF9" s="37">
        <v>2</v>
      </c>
    </row>
    <row r="10" spans="3:136" ht="159.5" x14ac:dyDescent="0.35">
      <c r="C10" s="33" t="s">
        <v>392</v>
      </c>
      <c r="D10" s="37">
        <v>2.5</v>
      </c>
      <c r="F10" s="33" t="s">
        <v>393</v>
      </c>
      <c r="G10" s="37">
        <v>2.5</v>
      </c>
      <c r="I10" s="33" t="s">
        <v>394</v>
      </c>
      <c r="J10" s="37">
        <v>2.5</v>
      </c>
      <c r="L10" s="33" t="s">
        <v>395</v>
      </c>
      <c r="M10" s="37">
        <v>2.5</v>
      </c>
      <c r="O10" s="33" t="s">
        <v>396</v>
      </c>
      <c r="P10" s="37">
        <v>2.5</v>
      </c>
      <c r="R10" s="33" t="s">
        <v>397</v>
      </c>
      <c r="S10" s="37">
        <v>2.5</v>
      </c>
      <c r="U10" s="33" t="s">
        <v>398</v>
      </c>
      <c r="V10" s="37">
        <v>2.5</v>
      </c>
      <c r="X10" s="33" t="s">
        <v>399</v>
      </c>
      <c r="Y10" s="37">
        <v>2.5</v>
      </c>
      <c r="AA10" s="33" t="s">
        <v>400</v>
      </c>
      <c r="AB10" s="37">
        <v>2.5</v>
      </c>
      <c r="AD10" s="33" t="s">
        <v>401</v>
      </c>
      <c r="AE10" s="37">
        <v>2.5</v>
      </c>
      <c r="AG10" s="33" t="s">
        <v>402</v>
      </c>
      <c r="AH10" s="37">
        <v>2.5</v>
      </c>
      <c r="AJ10" s="33" t="s">
        <v>403</v>
      </c>
      <c r="AK10" s="37">
        <v>2.5</v>
      </c>
      <c r="AM10" s="33" t="s">
        <v>404</v>
      </c>
      <c r="AN10" s="37">
        <v>2.5</v>
      </c>
      <c r="AP10" s="33" t="s">
        <v>405</v>
      </c>
      <c r="AQ10" s="37">
        <v>2.5</v>
      </c>
      <c r="AS10" s="33" t="s">
        <v>406</v>
      </c>
      <c r="AT10" s="37">
        <v>2.5</v>
      </c>
      <c r="AV10" s="33" t="s">
        <v>407</v>
      </c>
      <c r="AW10" s="37">
        <v>2.5</v>
      </c>
      <c r="AY10" s="33" t="s">
        <v>408</v>
      </c>
      <c r="AZ10" s="37">
        <v>2.5</v>
      </c>
      <c r="BB10" s="33" t="s">
        <v>409</v>
      </c>
      <c r="BC10" s="37">
        <v>2.5</v>
      </c>
      <c r="BE10" s="33" t="s">
        <v>410</v>
      </c>
      <c r="BF10" s="37">
        <v>2.5</v>
      </c>
      <c r="BH10" s="33" t="s">
        <v>411</v>
      </c>
      <c r="BI10" s="37">
        <v>2.5</v>
      </c>
      <c r="BK10" s="33" t="s">
        <v>412</v>
      </c>
      <c r="BL10" s="37">
        <v>2.5</v>
      </c>
      <c r="BN10" s="33" t="s">
        <v>413</v>
      </c>
      <c r="BO10" s="37">
        <v>2.5</v>
      </c>
      <c r="BQ10" s="33" t="s">
        <v>414</v>
      </c>
      <c r="BR10" s="37">
        <v>2.5</v>
      </c>
      <c r="BT10" s="33" t="s">
        <v>415</v>
      </c>
      <c r="BU10" s="37">
        <v>2.5</v>
      </c>
      <c r="BW10" s="33" t="s">
        <v>416</v>
      </c>
      <c r="BX10" s="37">
        <v>2.5</v>
      </c>
      <c r="BZ10" s="33" t="s">
        <v>417</v>
      </c>
      <c r="CA10" s="37">
        <v>2.5</v>
      </c>
      <c r="CC10" s="33" t="s">
        <v>418</v>
      </c>
      <c r="CD10" s="37">
        <v>2.5</v>
      </c>
      <c r="CF10" s="33" t="s">
        <v>419</v>
      </c>
      <c r="CG10" s="37">
        <v>2.5</v>
      </c>
      <c r="CI10" s="33" t="s">
        <v>420</v>
      </c>
      <c r="CJ10" s="37">
        <v>2.5</v>
      </c>
      <c r="CL10" s="33" t="s">
        <v>421</v>
      </c>
      <c r="CM10" s="37">
        <v>2.5</v>
      </c>
      <c r="CO10" s="33" t="s">
        <v>422</v>
      </c>
      <c r="CP10" s="37">
        <v>2.5</v>
      </c>
      <c r="CR10" s="33" t="s">
        <v>423</v>
      </c>
      <c r="CS10" s="37">
        <v>2.5</v>
      </c>
      <c r="CU10" s="33" t="s">
        <v>424</v>
      </c>
      <c r="CV10" s="37">
        <v>2.5</v>
      </c>
      <c r="CX10" s="33" t="s">
        <v>425</v>
      </c>
      <c r="CY10" s="37">
        <v>2.5</v>
      </c>
      <c r="DA10" s="33" t="s">
        <v>426</v>
      </c>
      <c r="DB10" s="37">
        <v>2.5</v>
      </c>
      <c r="DD10" s="33" t="s">
        <v>427</v>
      </c>
      <c r="DE10" s="37">
        <v>2.5</v>
      </c>
      <c r="DG10" s="33" t="s">
        <v>428</v>
      </c>
      <c r="DH10" s="37">
        <v>2.5</v>
      </c>
      <c r="DJ10" s="33" t="s">
        <v>429</v>
      </c>
      <c r="DK10" s="37">
        <v>2.5</v>
      </c>
      <c r="DM10" s="33" t="s">
        <v>430</v>
      </c>
      <c r="DN10" s="37">
        <v>2.5</v>
      </c>
      <c r="DP10" s="33" t="s">
        <v>431</v>
      </c>
      <c r="DQ10" s="37">
        <v>2.5</v>
      </c>
      <c r="DS10" s="33" t="s">
        <v>432</v>
      </c>
      <c r="DT10" s="37">
        <v>2.5</v>
      </c>
      <c r="DV10" s="33" t="s">
        <v>433</v>
      </c>
      <c r="DW10" s="37">
        <v>2.5</v>
      </c>
      <c r="DY10" s="33" t="s">
        <v>434</v>
      </c>
      <c r="DZ10" s="37">
        <v>2.5</v>
      </c>
      <c r="EB10" s="33" t="s">
        <v>136</v>
      </c>
      <c r="EC10" s="37">
        <v>2.5</v>
      </c>
      <c r="EE10" s="33" t="s">
        <v>435</v>
      </c>
      <c r="EF10" s="37">
        <v>2.5</v>
      </c>
    </row>
  </sheetData>
  <mergeCells count="24">
    <mergeCell ref="AM5:AN5"/>
    <mergeCell ref="C5:D5"/>
    <mergeCell ref="F5:G5"/>
    <mergeCell ref="L5:M5"/>
    <mergeCell ref="O5:P5"/>
    <mergeCell ref="R5:S5"/>
    <mergeCell ref="U5:V5"/>
    <mergeCell ref="X5:Y5"/>
    <mergeCell ref="AA5:AB5"/>
    <mergeCell ref="AD5:AE5"/>
    <mergeCell ref="AG5:AH5"/>
    <mergeCell ref="AJ5:AK5"/>
    <mergeCell ref="BW5:BX5"/>
    <mergeCell ref="AP5:AQ5"/>
    <mergeCell ref="AS5:AT5"/>
    <mergeCell ref="AV5:AW5"/>
    <mergeCell ref="AY5:AZ5"/>
    <mergeCell ref="BB5:BC5"/>
    <mergeCell ref="BE5:BF5"/>
    <mergeCell ref="BH5:BI5"/>
    <mergeCell ref="BK5:BL5"/>
    <mergeCell ref="BN5:BO5"/>
    <mergeCell ref="BQ5:BR5"/>
    <mergeCell ref="BT5:BU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User Guide</vt:lpstr>
      <vt:lpstr>Executive Summary</vt:lpstr>
      <vt:lpstr>Quantum Readiness Index</vt:lpstr>
      <vt:lpstr>Calculator</vt:lpstr>
      <vt:lpstr>Lists</vt:lpstr>
      <vt:lpstr>Lists!Understanding_opportunities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Shayne De la Force</dc:creator>
  <cp:lastModifiedBy>Shayne De la Force</cp:lastModifiedBy>
  <cp:lastPrinted>2025-12-16T03:05:53Z</cp:lastPrinted>
  <dcterms:created xsi:type="dcterms:W3CDTF">2025-12-14T07:38:01Z</dcterms:created>
  <dcterms:modified xsi:type="dcterms:W3CDTF">2026-01-20T05:46:25Z</dcterms:modified>
</cp:coreProperties>
</file>